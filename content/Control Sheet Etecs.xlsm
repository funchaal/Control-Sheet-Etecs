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ae\Downloads\"/>
    </mc:Choice>
  </mc:AlternateContent>
  <xr:revisionPtr revIDLastSave="0" documentId="13_ncr:1_{D26E74F3-3D26-4B5C-B35F-7577D9C7AFB9}" xr6:coauthVersionLast="47" xr6:coauthVersionMax="47" xr10:uidLastSave="{00000000-0000-0000-0000-000000000000}"/>
  <bookViews>
    <workbookView xWindow="-108" yWindow="-108" windowWidth="23256" windowHeight="13176" activeTab="1" xr2:uid="{129D1B99-F93D-46BE-B657-214C5DF1F25F}"/>
  </bookViews>
  <sheets>
    <sheet name="etec2" sheetId="8" r:id="rId1"/>
    <sheet name="etec1" sheetId="6" r:id="rId2"/>
    <sheet name="Planilha1" sheetId="9" r:id="rId3"/>
    <sheet name="Trabalhos" sheetId="1" r:id="rId4"/>
    <sheet name="Trabalhos2" sheetId="3" r:id="rId5"/>
    <sheet name="Fontes" sheetId="2" r:id="rId6"/>
  </sheets>
  <functionGroups builtInGroupCount="19"/>
  <definedNames>
    <definedName name="_xlcn.WorksheetConnection_meucodigin.xlsmTabela21" hidden="1">Tabela2</definedName>
    <definedName name="_xlcn.WorksheetConnection_meucodigin.xlsmTabela31" hidden="1">Tabela3</definedName>
    <definedName name="DadosExternos_1" localSheetId="1" hidden="1">etec1!$A$1:$F$2</definedName>
    <definedName name="DadosExternos_1" localSheetId="0" hidden="1">etec2!$A$1:$F$3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3" name="Tabela3" connection="WorksheetConnection_meu codigin.xlsm!Tabela3"/>
          <x15:modelTable id="Tabela2" name="Tabela2" connection="WorksheetConnection_meu codigin.xlsm!Tabe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" i="1" l="1"/>
  <c r="I8" i="3"/>
  <c r="I7" i="3"/>
  <c r="I6" i="3"/>
  <c r="I5" i="3"/>
  <c r="I4" i="3"/>
  <c r="I12" i="1"/>
  <c r="I3" i="3"/>
  <c r="I11" i="1"/>
  <c r="I10" i="1"/>
  <c r="I8" i="1"/>
  <c r="I2" i="3"/>
  <c r="I7" i="1"/>
  <c r="I6" i="1"/>
  <c r="I5" i="1"/>
  <c r="I4" i="1"/>
  <c r="I3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B6E032-4CAA-4825-B03C-D6EC389B0C8A}" keepAlive="1" name="Consulta - Tabela12" description="Conexão com a consulta 'Tabela12' na pasta de trabalho." type="5" refreshedVersion="6" background="1" saveData="1">
    <dbPr connection="Provider=Microsoft.Mashup.OleDb.1;Data Source=$Workbook$;Location=Tabela12;Extended Properties=&quot;&quot;" command="SELECT * FROM [Tabela12]"/>
  </connection>
  <connection id="2" xr16:uid="{644D2B8B-23E5-45D2-B205-6CDD4DF0F9BC}" keepAlive="1" name="Consulta - Tabela7" description="Conexão com a consulta 'Tabela7' na pasta de trabalho." type="5" refreshedVersion="7" background="1" saveData="1">
    <dbPr connection="Provider=Microsoft.Mashup.OleDb.1;Data Source=$Workbook$;Location=Tabela7;Extended Properties=&quot;&quot;" command="SELECT * FROM [Tabela7]"/>
  </connection>
  <connection id="3" xr16:uid="{170DD29F-B630-4685-972E-C81738C2CAB2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C9A41386-B7D4-4A50-8788-0E8228FA1996}" name="WorksheetConnection_meu codigin.xlsm!Tabela2" type="102" refreshedVersion="6" minRefreshableVersion="5">
    <extLst>
      <ext xmlns:x15="http://schemas.microsoft.com/office/spreadsheetml/2010/11/main" uri="{DE250136-89BD-433C-8126-D09CA5730AF9}">
        <x15:connection id="Tabela2">
          <x15:rangePr sourceName="_xlcn.WorksheetConnection_meucodigin.xlsmTabela21"/>
        </x15:connection>
      </ext>
    </extLst>
  </connection>
  <connection id="5" xr16:uid="{E6FADF5A-FEBF-4A0D-88B7-25C0EF370054}" name="WorksheetConnection_meu codigin.xlsm!Tabela3" type="102" refreshedVersion="6" minRefreshableVersion="5">
    <extLst>
      <ext xmlns:x15="http://schemas.microsoft.com/office/spreadsheetml/2010/11/main" uri="{DE250136-89BD-433C-8126-D09CA5730AF9}">
        <x15:connection id="Tabela3">
          <x15:rangePr sourceName="_xlcn.WorksheetConnection_meucodigin.xlsmTabela31"/>
        </x15:connection>
      </ext>
    </extLst>
  </connection>
</connections>
</file>

<file path=xl/sharedStrings.xml><?xml version="1.0" encoding="utf-8"?>
<sst xmlns="http://schemas.openxmlformats.org/spreadsheetml/2006/main" count="140" uniqueCount="61">
  <si>
    <t>MATÉRIAS</t>
  </si>
  <si>
    <t>Química</t>
  </si>
  <si>
    <t>Projeto Formativo</t>
  </si>
  <si>
    <t>Matemática</t>
  </si>
  <si>
    <t>Geografia</t>
  </si>
  <si>
    <t>História</t>
  </si>
  <si>
    <t>Física</t>
  </si>
  <si>
    <t>Educação Física</t>
  </si>
  <si>
    <t>Biologia</t>
  </si>
  <si>
    <t>Português</t>
  </si>
  <si>
    <t>Inglês</t>
  </si>
  <si>
    <t>NÚMERO</t>
  </si>
  <si>
    <t>TRABALHO</t>
  </si>
  <si>
    <t>MATÉRIA</t>
  </si>
  <si>
    <t>STATUS</t>
  </si>
  <si>
    <t>ANALISE</t>
  </si>
  <si>
    <t>PENDENTE</t>
  </si>
  <si>
    <t>ENTREGUE</t>
  </si>
  <si>
    <t>ENTREGUE COM ATRASO</t>
  </si>
  <si>
    <t>HORA</t>
  </si>
  <si>
    <t>DATA</t>
  </si>
  <si>
    <t>aaaa</t>
  </si>
  <si>
    <t>cccc</t>
  </si>
  <si>
    <t>p</t>
  </si>
  <si>
    <t>Mais longe</t>
  </si>
  <si>
    <t>Mais perto</t>
  </si>
  <si>
    <t>Todos</t>
  </si>
  <si>
    <t>HORA ENTREGA</t>
  </si>
  <si>
    <t>HORA PASSADO</t>
  </si>
  <si>
    <t>DATA ENTREGA</t>
  </si>
  <si>
    <t>DATA PASSADO</t>
  </si>
  <si>
    <t>ED</t>
  </si>
  <si>
    <t xml:space="preserve"> </t>
  </si>
  <si>
    <t>tn</t>
  </si>
  <si>
    <t>lce</t>
  </si>
  <si>
    <t>ci</t>
  </si>
  <si>
    <t>ltt</t>
  </si>
  <si>
    <t>eco</t>
  </si>
  <si>
    <t>fam</t>
  </si>
  <si>
    <t>al</t>
  </si>
  <si>
    <t>icm</t>
  </si>
  <si>
    <t>esp</t>
  </si>
  <si>
    <t>cfe</t>
  </si>
  <si>
    <t>COPIAR NO CADERNO OS TEXTOS EVOLUÇÃO E RAMOS DA FÍSICA</t>
  </si>
  <si>
    <t>COPIAR NO CADERNO O TEXTO DA CIÊNCIA X NEGAÇÃO</t>
  </si>
  <si>
    <t>RESOLVER OS EXERCÍCIOS DA LISTA 1 PA NO CADERNO</t>
  </si>
  <si>
    <t>ANOTAR ITENS DA CASA QUE VOCÊ MUDARIA E COMO MUDARIA</t>
  </si>
  <si>
    <t>RESOLVER OS EXERCÍCIOS DA LISTA 1 SEQUÊNCIAS NO CADERNO</t>
  </si>
  <si>
    <t>FAZER UM TEXTO DE APRESENTAÇÃO SUA DE 30 LINHAS</t>
  </si>
  <si>
    <t>PORTIFÓLIO</t>
  </si>
  <si>
    <t>SEMINÁRIO DO LIVRO "SENHORA" DO JOSÉ DE ALENCAR</t>
  </si>
  <si>
    <t>TAREFA DA SEMANA - 15 ATÉ 19.02 - 2º ANO</t>
  </si>
  <si>
    <t>FUNCIONAMENTO DO SISTEMA CARDÍACO, LER, VER OS VIDEOS E INTERPRETAR</t>
  </si>
  <si>
    <t>PESQUISAR NA INTERNET SOBRE EMOÇÃO E NEGOCIAÇÃO E ESCREVER NO CADERNO</t>
  </si>
  <si>
    <t>¿QUIÉN SOY YO?</t>
  </si>
  <si>
    <t>TAREFA DA SEMANA - 22 ATÉ 26.02 - 2º ANO</t>
  </si>
  <si>
    <t>PONTUAÇÃO- ATIVIDADE MENSAL</t>
  </si>
  <si>
    <t>ESCREVER  SOBRE AS CARACTERÍSTICAS DA SEGUNDA GUERRA</t>
  </si>
  <si>
    <t>RELATÓRIO DO CONCEITO DE ÉTICA E MORAL</t>
  </si>
  <si>
    <t>ESCREVA SOBRE A REVOLUÇÃO INDUSTRIAL</t>
  </si>
  <si>
    <t>1ª TAREFA DE FREQUÊNCIA QUINZENAL- FEV-2021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</si>
</sst>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00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8"/>
      <color rgb="FF363636"/>
      <name val="Arial"/>
      <family val="2"/>
    </font>
    <font>
      <b/>
      <sz val="18"/>
      <color theme="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bin Sketch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1" xfId="0" applyFont="1" applyFill="1" applyBorder="1" applyAlignment="1">
      <alignment horizontal="center" vertical="center"/>
    </xf>
    <xf numFmtId="19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/>
    <xf numFmtId="9" fontId="0" fillId="0" borderId="0" xfId="1" applyFont="1"/>
    <xf numFmtId="1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9" fontId="6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4" borderId="0" xfId="0" applyFill="1"/>
    <xf numFmtId="164" fontId="0" fillId="0" borderId="0" xfId="0" applyNumberFormat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10" fontId="0" fillId="4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/>
    <xf numFmtId="0" fontId="0" fillId="5" borderId="0" xfId="0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0" fontId="0" fillId="0" borderId="2" xfId="0" applyNumberFormat="1" applyFill="1" applyBorder="1" applyAlignment="1">
      <alignment horizontal="center" vertical="center"/>
    </xf>
    <xf numFmtId="49" fontId="8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/>
    <xf numFmtId="49" fontId="0" fillId="0" borderId="0" xfId="0" applyNumberFormat="1"/>
    <xf numFmtId="166" fontId="0" fillId="0" borderId="0" xfId="0" applyNumberFormat="1"/>
    <xf numFmtId="49" fontId="9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Porcentagem" xfId="1" builtinId="5"/>
  </cellStyles>
  <dxfs count="46"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363636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363636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363636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363636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166" formatCode="[$-F400]h:mm:ss\ AM/PM"/>
    </dxf>
    <dxf>
      <numFmt numFmtId="19" formatCode="dd/mm/yyyy"/>
    </dxf>
    <dxf>
      <numFmt numFmtId="14" formatCode="0.00%"/>
    </dxf>
    <dxf>
      <numFmt numFmtId="30" formatCode="@"/>
    </dxf>
    <dxf>
      <numFmt numFmtId="166" formatCode="[$-F400]h:mm:ss\ AM/PM"/>
    </dxf>
    <dxf>
      <numFmt numFmtId="19" formatCode="dd/mm/yyyy"/>
    </dxf>
    <dxf>
      <numFmt numFmtId="166" formatCode="[$-F400]h:mm:ss\ AM/PM"/>
    </dxf>
    <dxf>
      <numFmt numFmtId="19" formatCode="dd/mm/yyyy"/>
    </dxf>
    <dxf>
      <numFmt numFmtId="30" formatCode="@"/>
    </dxf>
    <dxf>
      <numFmt numFmtId="30" formatCode="@"/>
    </dxf>
    <dxf>
      <numFmt numFmtId="2" formatCode="0.00"/>
    </dxf>
    <dxf>
      <numFmt numFmtId="166" formatCode="[$-F400]h:mm:ss\ AM/PM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6" formatCode="[$-F400]h:mm:ss\ AM/PM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6" formatCode="[$-F400]h:mm:ss\ AM/PM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bin Sketch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bin Sketch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FF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image" Target="../media/image29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sv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image" Target="../media/image29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sv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svg"/><Relationship Id="rId1" Type="http://schemas.openxmlformats.org/officeDocument/2006/relationships/image" Target="../media/image43.png"/><Relationship Id="rId4" Type="http://schemas.openxmlformats.org/officeDocument/2006/relationships/image" Target="../media/image46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31.emf"/><Relationship Id="rId3" Type="http://schemas.openxmlformats.org/officeDocument/2006/relationships/image" Target="../media/image34.emf"/><Relationship Id="rId7" Type="http://schemas.openxmlformats.org/officeDocument/2006/relationships/image" Target="../media/image37.emf"/><Relationship Id="rId12" Type="http://schemas.openxmlformats.org/officeDocument/2006/relationships/image" Target="../media/image42.emf"/><Relationship Id="rId2" Type="http://schemas.openxmlformats.org/officeDocument/2006/relationships/image" Target="../media/image12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11" Type="http://schemas.openxmlformats.org/officeDocument/2006/relationships/image" Target="../media/image41.emf"/><Relationship Id="rId5" Type="http://schemas.openxmlformats.org/officeDocument/2006/relationships/image" Target="../media/image36.emf"/><Relationship Id="rId15" Type="http://schemas.openxmlformats.org/officeDocument/2006/relationships/image" Target="../media/image1.emf"/><Relationship Id="rId10" Type="http://schemas.openxmlformats.org/officeDocument/2006/relationships/image" Target="../media/image40.emf"/><Relationship Id="rId4" Type="http://schemas.openxmlformats.org/officeDocument/2006/relationships/image" Target="../media/image33.emf"/><Relationship Id="rId9" Type="http://schemas.openxmlformats.org/officeDocument/2006/relationships/image" Target="../media/image39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576939</xdr:colOff>
      <xdr:row>11</xdr:row>
      <xdr:rowOff>95962</xdr:rowOff>
    </xdr:from>
    <xdr:to>
      <xdr:col>25</xdr:col>
      <xdr:colOff>437744</xdr:colOff>
      <xdr:row>14</xdr:row>
      <xdr:rowOff>16214</xdr:rowOff>
    </xdr:to>
    <xdr:pic>
      <xdr:nvPicPr>
        <xdr:cNvPr id="2" name="Gráfico 1" descr="Gesto de espera com preenchiment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435659" y="2107642"/>
          <a:ext cx="470404" cy="468892"/>
        </a:xfrm>
        <a:prstGeom prst="rect">
          <a:avLst/>
        </a:prstGeom>
      </xdr:spPr>
    </xdr:pic>
    <xdr:clientData/>
  </xdr:twoCellAnchor>
  <xdr:twoCellAnchor editAs="absolute">
    <xdr:from>
      <xdr:col>6</xdr:col>
      <xdr:colOff>37420</xdr:colOff>
      <xdr:row>12</xdr:row>
      <xdr:rowOff>130490</xdr:rowOff>
    </xdr:from>
    <xdr:to>
      <xdr:col>6</xdr:col>
      <xdr:colOff>1213985</xdr:colOff>
      <xdr:row>14</xdr:row>
      <xdr:rowOff>78463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13040" y="2325050"/>
          <a:ext cx="1176565" cy="313733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563880</xdr:colOff>
          <xdr:row>20</xdr:row>
          <xdr:rowOff>0</xdr:rowOff>
        </xdr:from>
        <xdr:to>
          <xdr:col>27</xdr:col>
          <xdr:colOff>563880</xdr:colOff>
          <xdr:row>32</xdr:row>
          <xdr:rowOff>76200</xdr:rowOff>
        </xdr:to>
        <xdr:sp macro="" textlink="">
          <xdr:nvSpPr>
            <xdr:cNvPr id="9217" name="Label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335280</xdr:colOff>
          <xdr:row>19</xdr:row>
          <xdr:rowOff>0</xdr:rowOff>
        </xdr:from>
        <xdr:to>
          <xdr:col>20</xdr:col>
          <xdr:colOff>182880</xdr:colOff>
          <xdr:row>19</xdr:row>
          <xdr:rowOff>160020</xdr:rowOff>
        </xdr:to>
        <xdr:sp macro="" textlink="">
          <xdr:nvSpPr>
            <xdr:cNvPr id="9218" name="Label10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37420</xdr:colOff>
      <xdr:row>6</xdr:row>
      <xdr:rowOff>108966</xdr:rowOff>
    </xdr:from>
    <xdr:to>
      <xdr:col>6</xdr:col>
      <xdr:colOff>1213985</xdr:colOff>
      <xdr:row>11</xdr:row>
      <xdr:rowOff>167578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13040" y="1206246"/>
          <a:ext cx="1176565" cy="973012"/>
        </a:xfrm>
        <a:prstGeom prst="roundRect">
          <a:avLst>
            <a:gd name="adj" fmla="val 7672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464820</xdr:colOff>
          <xdr:row>19</xdr:row>
          <xdr:rowOff>0</xdr:rowOff>
        </xdr:from>
        <xdr:to>
          <xdr:col>20</xdr:col>
          <xdr:colOff>312420</xdr:colOff>
          <xdr:row>19</xdr:row>
          <xdr:rowOff>160020</xdr:rowOff>
        </xdr:to>
        <xdr:sp macro="" textlink="">
          <xdr:nvSpPr>
            <xdr:cNvPr id="9219" name="Label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37420</xdr:colOff>
      <xdr:row>4</xdr:row>
      <xdr:rowOff>143498</xdr:rowOff>
    </xdr:from>
    <xdr:to>
      <xdr:col>6</xdr:col>
      <xdr:colOff>1213985</xdr:colOff>
      <xdr:row>5</xdr:row>
      <xdr:rowOff>157086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11718" y="874010"/>
          <a:ext cx="1176565" cy="196216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9220" name="Label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784860</xdr:colOff>
          <xdr:row>12</xdr:row>
          <xdr:rowOff>160020</xdr:rowOff>
        </xdr:from>
        <xdr:to>
          <xdr:col>7</xdr:col>
          <xdr:colOff>342900</xdr:colOff>
          <xdr:row>14</xdr:row>
          <xdr:rowOff>60960</xdr:rowOff>
        </xdr:to>
        <xdr:sp macro="" textlink="">
          <xdr:nvSpPr>
            <xdr:cNvPr id="9221" name="dataCompleta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1402080</xdr:colOff>
          <xdr:row>3</xdr:row>
          <xdr:rowOff>83820</xdr:rowOff>
        </xdr:from>
        <xdr:to>
          <xdr:col>7</xdr:col>
          <xdr:colOff>320040</xdr:colOff>
          <xdr:row>4</xdr:row>
          <xdr:rowOff>0</xdr:rowOff>
        </xdr:to>
        <xdr:sp macro="" textlink="">
          <xdr:nvSpPr>
            <xdr:cNvPr id="9225" name="mostrarTu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37557</xdr:colOff>
      <xdr:row>14</xdr:row>
      <xdr:rowOff>108533</xdr:rowOff>
    </xdr:from>
    <xdr:to>
      <xdr:col>6</xdr:col>
      <xdr:colOff>1213848</xdr:colOff>
      <xdr:row>16</xdr:row>
      <xdr:rowOff>57797</xdr:rowOff>
    </xdr:to>
    <xdr:sp macro="" textlink="">
      <xdr:nvSpPr>
        <xdr:cNvPr id="15" name="venceujaform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713177" y="2668853"/>
          <a:ext cx="1176291" cy="315024"/>
        </a:xfrm>
        <a:prstGeom prst="roundRect">
          <a:avLst>
            <a:gd name="adj" fmla="val 23958"/>
          </a:avLst>
        </a:prstGeom>
        <a:solidFill>
          <a:schemeClr val="tx1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815340</xdr:colOff>
          <xdr:row>14</xdr:row>
          <xdr:rowOff>152400</xdr:rowOff>
        </xdr:from>
        <xdr:to>
          <xdr:col>7</xdr:col>
          <xdr:colOff>304800</xdr:colOff>
          <xdr:row>16</xdr:row>
          <xdr:rowOff>15240</xdr:rowOff>
        </xdr:to>
        <xdr:sp macro="" textlink="">
          <xdr:nvSpPr>
            <xdr:cNvPr id="9226" name="analiseLabel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0</xdr:row>
      <xdr:rowOff>40752</xdr:rowOff>
    </xdr:from>
    <xdr:to>
      <xdr:col>8</xdr:col>
      <xdr:colOff>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3797868" y="40752"/>
          <a:ext cx="0" cy="141876"/>
          <a:chOff x="11041302" y="46889"/>
          <a:chExt cx="556596" cy="172670"/>
        </a:xfrm>
      </xdr:grpSpPr>
      <xdr:sp macro="[0]!Atualizar" textlink="">
        <xdr:nvSpPr>
          <xdr:cNvPr id="18" name="Retângulo: Cantos Arredondados 17" descr="Atualizar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1041302" y="46889"/>
            <a:ext cx="556596" cy="172670"/>
          </a:xfrm>
          <a:prstGeom prst="roundRect">
            <a:avLst/>
          </a:prstGeom>
          <a:gradFill flip="none" rotWithShape="1">
            <a:gsLst>
              <a:gs pos="0">
                <a:srgbClr val="00B050">
                  <a:shade val="30000"/>
                  <a:satMod val="115000"/>
                </a:srgbClr>
              </a:gs>
              <a:gs pos="50000">
                <a:srgbClr val="00B050">
                  <a:shade val="67500"/>
                  <a:satMod val="115000"/>
                </a:srgbClr>
              </a:gs>
              <a:gs pos="100000">
                <a:srgbClr val="00B050">
                  <a:shade val="100000"/>
                  <a:satMod val="115000"/>
                </a:srgb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tualizar">
        <xdr:nvPicPr>
          <xdr:cNvPr id="19" name="Gráfico 18" descr="Repetir com preenchimento sólido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11259544" y="73168"/>
            <a:ext cx="120113" cy="12011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11</xdr:row>
          <xdr:rowOff>175260</xdr:rowOff>
        </xdr:from>
        <xdr:to>
          <xdr:col>6</xdr:col>
          <xdr:colOff>967740</xdr:colOff>
          <xdr:row>12</xdr:row>
          <xdr:rowOff>137160</xdr:rowOff>
        </xdr:to>
        <xdr:sp macro="" textlink="">
          <xdr:nvSpPr>
            <xdr:cNvPr id="9227" name="entregaplanilha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15240</xdr:rowOff>
        </xdr:from>
        <xdr:to>
          <xdr:col>6</xdr:col>
          <xdr:colOff>967740</xdr:colOff>
          <xdr:row>4</xdr:row>
          <xdr:rowOff>160020</xdr:rowOff>
        </xdr:to>
        <xdr:sp macro="" textlink="">
          <xdr:nvSpPr>
            <xdr:cNvPr id="9228" name="materiaplanilha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5</xdr:row>
          <xdr:rowOff>160020</xdr:rowOff>
        </xdr:from>
        <xdr:to>
          <xdr:col>6</xdr:col>
          <xdr:colOff>967740</xdr:colOff>
          <xdr:row>6</xdr:row>
          <xdr:rowOff>121920</xdr:rowOff>
        </xdr:to>
        <xdr:sp macro="" textlink="">
          <xdr:nvSpPr>
            <xdr:cNvPr id="9229" name="trabalhoplanilha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0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784860</xdr:colOff>
          <xdr:row>7</xdr:row>
          <xdr:rowOff>30480</xdr:rowOff>
        </xdr:from>
        <xdr:to>
          <xdr:col>7</xdr:col>
          <xdr:colOff>342900</xdr:colOff>
          <xdr:row>11</xdr:row>
          <xdr:rowOff>68580</xdr:rowOff>
        </xdr:to>
        <xdr:sp macro="" textlink="">
          <xdr:nvSpPr>
            <xdr:cNvPr id="9230" name="trabalhoLabel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0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769620</xdr:colOff>
          <xdr:row>4</xdr:row>
          <xdr:rowOff>167640</xdr:rowOff>
        </xdr:from>
        <xdr:to>
          <xdr:col>7</xdr:col>
          <xdr:colOff>327660</xdr:colOff>
          <xdr:row>5</xdr:row>
          <xdr:rowOff>121920</xdr:rowOff>
        </xdr:to>
        <xdr:sp macro="" textlink="">
          <xdr:nvSpPr>
            <xdr:cNvPr id="9231" name="materiaLabel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14</xdr:row>
      <xdr:rowOff>0</xdr:rowOff>
    </xdr:from>
    <xdr:to>
      <xdr:col>9</xdr:col>
      <xdr:colOff>304800</xdr:colOff>
      <xdr:row>15</xdr:row>
      <xdr:rowOff>121921</xdr:rowOff>
    </xdr:to>
    <xdr:sp macro="" textlink="">
      <xdr:nvSpPr>
        <xdr:cNvPr id="25" name="avatar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7551420" y="256032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9</xdr:row>
      <xdr:rowOff>0</xdr:rowOff>
    </xdr:from>
    <xdr:to>
      <xdr:col>9</xdr:col>
      <xdr:colOff>304800</xdr:colOff>
      <xdr:row>10</xdr:row>
      <xdr:rowOff>121920</xdr:rowOff>
    </xdr:to>
    <xdr:sp macro="" textlink="">
      <xdr:nvSpPr>
        <xdr:cNvPr id="26" name="avatar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755142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6</xdr:col>
      <xdr:colOff>815527</xdr:colOff>
      <xdr:row>18</xdr:row>
      <xdr:rowOff>141692</xdr:rowOff>
    </xdr:from>
    <xdr:to>
      <xdr:col>6</xdr:col>
      <xdr:colOff>1175527</xdr:colOff>
      <xdr:row>20</xdr:row>
      <xdr:rowOff>136436</xdr:rowOff>
    </xdr:to>
    <xdr:pic macro="[0]!chamaFormulario">
      <xdr:nvPicPr>
        <xdr:cNvPr id="27" name="Gráfico 26" descr="Adicionar com preenchimento sólido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89825" y="3428998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815527</xdr:colOff>
      <xdr:row>23</xdr:row>
      <xdr:rowOff>120702</xdr:rowOff>
    </xdr:from>
    <xdr:to>
      <xdr:col>6</xdr:col>
      <xdr:colOff>1175527</xdr:colOff>
      <xdr:row>25</xdr:row>
      <xdr:rowOff>115446</xdr:rowOff>
    </xdr:to>
    <xdr:pic macro="[0]!chamalista">
      <xdr:nvPicPr>
        <xdr:cNvPr id="28" name="Gráfico 27" descr="Área de Transferência com preenchimento sólido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91147" y="4326942"/>
          <a:ext cx="360000" cy="360504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815527</xdr:colOff>
      <xdr:row>21</xdr:row>
      <xdr:rowOff>39883</xdr:rowOff>
    </xdr:from>
    <xdr:to>
      <xdr:col>6</xdr:col>
      <xdr:colOff>1175527</xdr:colOff>
      <xdr:row>23</xdr:row>
      <xdr:rowOff>34627</xdr:rowOff>
    </xdr:to>
    <xdr:pic macro="[0]!Atualizar2">
      <xdr:nvPicPr>
        <xdr:cNvPr id="29" name="Gráfico 28" descr="Atualizar com preenchimento sólid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491147" y="3880363"/>
          <a:ext cx="360000" cy="360504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765667</xdr:colOff>
      <xdr:row>26</xdr:row>
      <xdr:rowOff>18893</xdr:rowOff>
    </xdr:from>
    <xdr:to>
      <xdr:col>6</xdr:col>
      <xdr:colOff>1225387</xdr:colOff>
      <xdr:row>28</xdr:row>
      <xdr:rowOff>113357</xdr:rowOff>
    </xdr:to>
    <xdr:pic macro="[0]!atalhoVba">
      <xdr:nvPicPr>
        <xdr:cNvPr id="30" name="Gráfico 29" descr="Engrenagem única com preenchimento sólido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441287" y="4773773"/>
          <a:ext cx="459720" cy="460224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1053084</xdr:colOff>
      <xdr:row>0</xdr:row>
      <xdr:rowOff>34592</xdr:rowOff>
    </xdr:from>
    <xdr:to>
      <xdr:col>6</xdr:col>
      <xdr:colOff>1251084</xdr:colOff>
      <xdr:row>1</xdr:row>
      <xdr:rowOff>49964</xdr:rowOff>
    </xdr:to>
    <xdr:pic macro="[0]!abrirTrabalhos2">
      <xdr:nvPicPr>
        <xdr:cNvPr id="31" name="Gráfico 30" descr="Banco de dados com preenchimento sólid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727382" y="34592"/>
          <a:ext cx="198000" cy="198000"/>
        </a:xfrm>
        <a:prstGeom prst="rect">
          <a:avLst/>
        </a:prstGeom>
      </xdr:spPr>
    </xdr:pic>
    <xdr:clientData/>
  </xdr:twoCellAnchor>
  <xdr:twoCellAnchor>
    <xdr:from>
      <xdr:col>6</xdr:col>
      <xdr:colOff>117508</xdr:colOff>
      <xdr:row>19</xdr:row>
      <xdr:rowOff>116514</xdr:rowOff>
    </xdr:from>
    <xdr:to>
      <xdr:col>6</xdr:col>
      <xdr:colOff>709475</xdr:colOff>
      <xdr:row>27</xdr:row>
      <xdr:rowOff>86287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0791806" y="3586448"/>
          <a:ext cx="591967" cy="1430798"/>
          <a:chOff x="10806545" y="3646265"/>
          <a:chExt cx="591967" cy="1430798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[0]!ativaEtec1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0806545" y="3646265"/>
            <a:ext cx="591967" cy="648645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l"/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etec1</a:t>
            </a:r>
          </a:p>
        </xdr:txBody>
      </xdr:sp>
      <xdr:sp macro="[0]!ativaEtec2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0806545" y="4428418"/>
            <a:ext cx="591967" cy="648645"/>
          </a:xfrm>
          <a:prstGeom prst="round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l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etec2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88492</xdr:colOff>
          <xdr:row>0</xdr:row>
          <xdr:rowOff>132816</xdr:rowOff>
        </xdr:from>
        <xdr:to>
          <xdr:col>6</xdr:col>
          <xdr:colOff>1162912</xdr:colOff>
          <xdr:row>4</xdr:row>
          <xdr:rowOff>18516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10762790" y="132816"/>
              <a:ext cx="1074420" cy="616212"/>
              <a:chOff x="10759439" y="422879"/>
              <a:chExt cx="1074420" cy="616212"/>
            </a:xfrm>
          </xdr:grpSpPr>
          <xdr:sp macro="" textlink="">
            <xdr:nvSpPr>
              <xdr:cNvPr id="9232" name="FiltroMaterias" hidden="1">
                <a:extLst>
                  <a:ext uri="{63B3BB69-23CF-44E3-9099-C40C66FF867C}">
                    <a14:compatExt spid="_x0000_s9232"/>
                  </a:ext>
                  <a:ext uri="{FF2B5EF4-FFF2-40B4-BE49-F238E27FC236}">
                    <a16:creationId xmlns:a16="http://schemas.microsoft.com/office/drawing/2014/main" id="{00000000-0008-0000-0000-000010240000}"/>
                  </a:ext>
                </a:extLst>
              </xdr:cNvPr>
              <xdr:cNvSpPr/>
            </xdr:nvSpPr>
            <xdr:spPr bwMode="auto">
              <a:xfrm>
                <a:off x="10759439" y="742415"/>
                <a:ext cx="1074420" cy="1445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233" name="FiltroDatas" hidden="1">
                <a:extLst>
                  <a:ext uri="{63B3BB69-23CF-44E3-9099-C40C66FF867C}">
                    <a14:compatExt spid="_x0000_s9233"/>
                  </a:ext>
                  <a:ext uri="{FF2B5EF4-FFF2-40B4-BE49-F238E27FC236}">
                    <a16:creationId xmlns:a16="http://schemas.microsoft.com/office/drawing/2014/main" id="{00000000-0008-0000-0000-000011240000}"/>
                  </a:ext>
                </a:extLst>
              </xdr:cNvPr>
              <xdr:cNvSpPr/>
            </xdr:nvSpPr>
            <xdr:spPr bwMode="auto">
              <a:xfrm>
                <a:off x="10759439" y="544547"/>
                <a:ext cx="1074420" cy="15214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234" name="Label1" hidden="1">
                <a:extLst>
                  <a:ext uri="{63B3BB69-23CF-44E3-9099-C40C66FF867C}">
                    <a14:compatExt spid="_x0000_s9234"/>
                  </a:ext>
                  <a:ext uri="{FF2B5EF4-FFF2-40B4-BE49-F238E27FC236}">
                    <a16:creationId xmlns:a16="http://schemas.microsoft.com/office/drawing/2014/main" id="{00000000-0008-0000-0000-000012240000}"/>
                  </a:ext>
                </a:extLst>
              </xdr:cNvPr>
              <xdr:cNvSpPr/>
            </xdr:nvSpPr>
            <xdr:spPr bwMode="auto">
              <a:xfrm>
                <a:off x="10759439" y="422879"/>
                <a:ext cx="982980" cy="1216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9235" name="Label2" hidden="1">
                <a:extLst>
                  <a:ext uri="{63B3BB69-23CF-44E3-9099-C40C66FF867C}">
                    <a14:compatExt spid="_x0000_s9235"/>
                  </a:ext>
                  <a:ext uri="{FF2B5EF4-FFF2-40B4-BE49-F238E27FC236}">
                    <a16:creationId xmlns:a16="http://schemas.microsoft.com/office/drawing/2014/main" id="{00000000-0008-0000-0000-000013240000}"/>
                  </a:ext>
                </a:extLst>
              </xdr:cNvPr>
              <xdr:cNvSpPr/>
            </xdr:nvSpPr>
            <xdr:spPr bwMode="auto">
              <a:xfrm>
                <a:off x="11353799" y="940283"/>
                <a:ext cx="480060" cy="988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576939</xdr:colOff>
      <xdr:row>11</xdr:row>
      <xdr:rowOff>95962</xdr:rowOff>
    </xdr:from>
    <xdr:to>
      <xdr:col>20</xdr:col>
      <xdr:colOff>437743</xdr:colOff>
      <xdr:row>14</xdr:row>
      <xdr:rowOff>16214</xdr:rowOff>
    </xdr:to>
    <xdr:pic>
      <xdr:nvPicPr>
        <xdr:cNvPr id="7" name="Gráfico 6" descr="Gesto de espera com preenchimento sólid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80045" y="2117153"/>
          <a:ext cx="471487" cy="471487"/>
        </a:xfrm>
        <a:prstGeom prst="rect">
          <a:avLst/>
        </a:prstGeom>
      </xdr:spPr>
    </xdr:pic>
    <xdr:clientData/>
  </xdr:twoCellAnchor>
  <xdr:twoCellAnchor editAs="absolute">
    <xdr:from>
      <xdr:col>6</xdr:col>
      <xdr:colOff>37420</xdr:colOff>
      <xdr:row>12</xdr:row>
      <xdr:rowOff>130490</xdr:rowOff>
    </xdr:from>
    <xdr:to>
      <xdr:col>6</xdr:col>
      <xdr:colOff>1213985</xdr:colOff>
      <xdr:row>14</xdr:row>
      <xdr:rowOff>182628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0711718" y="2322027"/>
          <a:ext cx="1176565" cy="417394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563880</xdr:colOff>
          <xdr:row>20</xdr:row>
          <xdr:rowOff>0</xdr:rowOff>
        </xdr:from>
        <xdr:to>
          <xdr:col>22</xdr:col>
          <xdr:colOff>563880</xdr:colOff>
          <xdr:row>32</xdr:row>
          <xdr:rowOff>76200</xdr:rowOff>
        </xdr:to>
        <xdr:sp macro="" textlink="">
          <xdr:nvSpPr>
            <xdr:cNvPr id="1100" name="Label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335280</xdr:colOff>
          <xdr:row>19</xdr:row>
          <xdr:rowOff>0</xdr:rowOff>
        </xdr:from>
        <xdr:to>
          <xdr:col>15</xdr:col>
          <xdr:colOff>182880</xdr:colOff>
          <xdr:row>19</xdr:row>
          <xdr:rowOff>160020</xdr:rowOff>
        </xdr:to>
        <xdr:sp macro="" textlink="">
          <xdr:nvSpPr>
            <xdr:cNvPr id="1110" name="Label1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37420</xdr:colOff>
      <xdr:row>6</xdr:row>
      <xdr:rowOff>108966</xdr:rowOff>
    </xdr:from>
    <xdr:to>
      <xdr:col>6</xdr:col>
      <xdr:colOff>1213985</xdr:colOff>
      <xdr:row>11</xdr:row>
      <xdr:rowOff>167578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711718" y="1204735"/>
          <a:ext cx="1176565" cy="971752"/>
        </a:xfrm>
        <a:prstGeom prst="roundRect">
          <a:avLst>
            <a:gd name="adj" fmla="val 7672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464820</xdr:colOff>
          <xdr:row>19</xdr:row>
          <xdr:rowOff>0</xdr:rowOff>
        </xdr:from>
        <xdr:to>
          <xdr:col>15</xdr:col>
          <xdr:colOff>312420</xdr:colOff>
          <xdr:row>19</xdr:row>
          <xdr:rowOff>160020</xdr:rowOff>
        </xdr:to>
        <xdr:sp macro="" textlink="">
          <xdr:nvSpPr>
            <xdr:cNvPr id="1103" name="Label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37420</xdr:colOff>
      <xdr:row>4</xdr:row>
      <xdr:rowOff>143498</xdr:rowOff>
    </xdr:from>
    <xdr:to>
      <xdr:col>6</xdr:col>
      <xdr:colOff>1213985</xdr:colOff>
      <xdr:row>5</xdr:row>
      <xdr:rowOff>157086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0711718" y="874010"/>
          <a:ext cx="1176565" cy="196216"/>
        </a:xfrm>
        <a:prstGeom prst="roundRect">
          <a:avLst>
            <a:gd name="adj" fmla="val 23958"/>
          </a:avLst>
        </a:prstGeom>
        <a:gradFill flip="none" rotWithShape="1">
          <a:gsLst>
            <a:gs pos="0">
              <a:schemeClr val="tx1">
                <a:lumMod val="75000"/>
                <a:lumOff val="25000"/>
                <a:shade val="67500"/>
                <a:satMod val="115000"/>
                <a:alpha val="36000"/>
              </a:schemeClr>
            </a:gs>
            <a:gs pos="100000">
              <a:schemeClr val="tx1">
                <a:lumMod val="75000"/>
                <a:lumOff val="25000"/>
                <a:shade val="100000"/>
                <a:satMod val="115000"/>
              </a:schemeClr>
            </a:gs>
          </a:gsLst>
          <a:lin ang="1350000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Label9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12</xdr:row>
          <xdr:rowOff>160020</xdr:rowOff>
        </xdr:from>
        <xdr:to>
          <xdr:col>6</xdr:col>
          <xdr:colOff>1188720</xdr:colOff>
          <xdr:row>14</xdr:row>
          <xdr:rowOff>149484</xdr:rowOff>
        </xdr:to>
        <xdr:sp macro="" textlink="">
          <xdr:nvSpPr>
            <xdr:cNvPr id="1097" name="dataCompleta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88492</xdr:colOff>
          <xdr:row>0</xdr:row>
          <xdr:rowOff>132816</xdr:rowOff>
        </xdr:from>
        <xdr:to>
          <xdr:col>6</xdr:col>
          <xdr:colOff>1162912</xdr:colOff>
          <xdr:row>4</xdr:row>
          <xdr:rowOff>18516</xdr:rowOff>
        </xdr:to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GrpSpPr/>
          </xdr:nvGrpSpPr>
          <xdr:grpSpPr>
            <a:xfrm>
              <a:off x="10762790" y="132816"/>
              <a:ext cx="1074420" cy="616212"/>
              <a:chOff x="10765738" y="114300"/>
              <a:chExt cx="1074420" cy="616212"/>
            </a:xfrm>
          </xdr:grpSpPr>
          <xdr:sp macro="" textlink="">
            <xdr:nvSpPr>
              <xdr:cNvPr id="1154" name="FiltroMaterias" hidden="1">
                <a:extLst>
                  <a:ext uri="{63B3BB69-23CF-44E3-9099-C40C66FF867C}">
                    <a14:compatExt spid="_x0000_s1154"/>
                  </a:ext>
                  <a:ext uri="{FF2B5EF4-FFF2-40B4-BE49-F238E27FC236}">
                    <a16:creationId xmlns:a16="http://schemas.microsoft.com/office/drawing/2014/main" id="{00000000-0008-0000-0100-000082040000}"/>
                  </a:ext>
                </a:extLst>
              </xdr:cNvPr>
              <xdr:cNvSpPr/>
            </xdr:nvSpPr>
            <xdr:spPr bwMode="auto">
              <a:xfrm>
                <a:off x="10765738" y="433836"/>
                <a:ext cx="1074420" cy="1445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1157" name="FiltroDatas" hidden="1">
                <a:extLst>
                  <a:ext uri="{63B3BB69-23CF-44E3-9099-C40C66FF867C}">
                    <a14:compatExt spid="_x0000_s1157"/>
                  </a:ext>
                  <a:ext uri="{FF2B5EF4-FFF2-40B4-BE49-F238E27FC236}">
                    <a16:creationId xmlns:a16="http://schemas.microsoft.com/office/drawing/2014/main" id="{00000000-0008-0000-0100-000085040000}"/>
                  </a:ext>
                </a:extLst>
              </xdr:cNvPr>
              <xdr:cNvSpPr/>
            </xdr:nvSpPr>
            <xdr:spPr bwMode="auto">
              <a:xfrm>
                <a:off x="10765738" y="235968"/>
                <a:ext cx="1074420" cy="15214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1159" name="Label5" hidden="1">
                <a:extLst>
                  <a:ext uri="{63B3BB69-23CF-44E3-9099-C40C66FF867C}">
                    <a14:compatExt spid="_x0000_s1159"/>
                  </a:ext>
                  <a:ext uri="{FF2B5EF4-FFF2-40B4-BE49-F238E27FC236}">
                    <a16:creationId xmlns:a16="http://schemas.microsoft.com/office/drawing/2014/main" id="{00000000-0008-0000-0100-000087040000}"/>
                  </a:ext>
                </a:extLst>
              </xdr:cNvPr>
              <xdr:cNvSpPr/>
            </xdr:nvSpPr>
            <xdr:spPr bwMode="auto">
              <a:xfrm>
                <a:off x="10765738" y="114300"/>
                <a:ext cx="982980" cy="1216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62" name="mostrarTudo" hidden="1">
                <a:extLst>
                  <a:ext uri="{63B3BB69-23CF-44E3-9099-C40C66FF867C}">
                    <a14:compatExt spid="_x0000_s1162"/>
                  </a:ext>
                  <a:ext uri="{FF2B5EF4-FFF2-40B4-BE49-F238E27FC236}">
                    <a16:creationId xmlns:a16="http://schemas.microsoft.com/office/drawing/2014/main" id="{00000000-0008-0000-0100-00008A040000}"/>
                  </a:ext>
                </a:extLst>
              </xdr:cNvPr>
              <xdr:cNvSpPr/>
            </xdr:nvSpPr>
            <xdr:spPr bwMode="auto">
              <a:xfrm>
                <a:off x="11360098" y="631704"/>
                <a:ext cx="480060" cy="988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6</xdr:col>
      <xdr:colOff>37557</xdr:colOff>
      <xdr:row>15</xdr:row>
      <xdr:rowOff>39258</xdr:rowOff>
    </xdr:from>
    <xdr:to>
      <xdr:col>6</xdr:col>
      <xdr:colOff>1213848</xdr:colOff>
      <xdr:row>16</xdr:row>
      <xdr:rowOff>171150</xdr:rowOff>
    </xdr:to>
    <xdr:sp macro="" textlink="">
      <xdr:nvSpPr>
        <xdr:cNvPr id="26" name="venceujaforma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0711855" y="2778679"/>
          <a:ext cx="1176291" cy="314521"/>
        </a:xfrm>
        <a:prstGeom prst="roundRect">
          <a:avLst>
            <a:gd name="adj" fmla="val 23958"/>
          </a:avLst>
        </a:prstGeom>
        <a:solidFill>
          <a:schemeClr val="tx1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15</xdr:row>
          <xdr:rowOff>83125</xdr:rowOff>
        </xdr:from>
        <xdr:to>
          <xdr:col>6</xdr:col>
          <xdr:colOff>1150620</xdr:colOff>
          <xdr:row>16</xdr:row>
          <xdr:rowOff>128593</xdr:rowOff>
        </xdr:to>
        <xdr:sp macro="" textlink="">
          <xdr:nvSpPr>
            <xdr:cNvPr id="1170" name="analiseLabel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0</xdr:row>
      <xdr:rowOff>40752</xdr:rowOff>
    </xdr:from>
    <xdr:to>
      <xdr:col>5</xdr:col>
      <xdr:colOff>0</xdr:colOff>
      <xdr:row>1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9112512" y="40752"/>
          <a:ext cx="0" cy="141876"/>
          <a:chOff x="11041302" y="46889"/>
          <a:chExt cx="556596" cy="172670"/>
        </a:xfrm>
      </xdr:grpSpPr>
      <xdr:sp macro="[0]!Atualizar" textlink="">
        <xdr:nvSpPr>
          <xdr:cNvPr id="2" name="Retângulo: Cantos Arredondados 1" descr="Atualizar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1041302" y="46889"/>
            <a:ext cx="556596" cy="172670"/>
          </a:xfrm>
          <a:prstGeom prst="roundRect">
            <a:avLst/>
          </a:prstGeom>
          <a:gradFill flip="none" rotWithShape="1">
            <a:gsLst>
              <a:gs pos="0">
                <a:srgbClr val="00B050">
                  <a:shade val="30000"/>
                  <a:satMod val="115000"/>
                </a:srgbClr>
              </a:gs>
              <a:gs pos="50000">
                <a:srgbClr val="00B050">
                  <a:shade val="67500"/>
                  <a:satMod val="115000"/>
                </a:srgbClr>
              </a:gs>
              <a:gs pos="100000">
                <a:srgbClr val="00B050">
                  <a:shade val="100000"/>
                  <a:satMod val="115000"/>
                </a:srgb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tualizar">
        <xdr:nvPicPr>
          <xdr:cNvPr id="10" name="Gráfico 9" descr="Repetir com preenchimento sólid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11259544" y="73168"/>
            <a:ext cx="120113" cy="12011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11</xdr:row>
          <xdr:rowOff>175260</xdr:rowOff>
        </xdr:from>
        <xdr:to>
          <xdr:col>6</xdr:col>
          <xdr:colOff>967740</xdr:colOff>
          <xdr:row>12</xdr:row>
          <xdr:rowOff>137160</xdr:rowOff>
        </xdr:to>
        <xdr:sp macro="" textlink="">
          <xdr:nvSpPr>
            <xdr:cNvPr id="1173" name="entregaplanilha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15240</xdr:rowOff>
        </xdr:from>
        <xdr:to>
          <xdr:col>6</xdr:col>
          <xdr:colOff>967740</xdr:colOff>
          <xdr:row>4</xdr:row>
          <xdr:rowOff>160020</xdr:rowOff>
        </xdr:to>
        <xdr:sp macro="" textlink="">
          <xdr:nvSpPr>
            <xdr:cNvPr id="1172" name="materiaplanilha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5</xdr:row>
          <xdr:rowOff>160020</xdr:rowOff>
        </xdr:from>
        <xdr:to>
          <xdr:col>6</xdr:col>
          <xdr:colOff>967740</xdr:colOff>
          <xdr:row>6</xdr:row>
          <xdr:rowOff>121920</xdr:rowOff>
        </xdr:to>
        <xdr:sp macro="" textlink="">
          <xdr:nvSpPr>
            <xdr:cNvPr id="1174" name="trabalhoplanilha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7</xdr:row>
          <xdr:rowOff>30480</xdr:rowOff>
        </xdr:from>
        <xdr:to>
          <xdr:col>6</xdr:col>
          <xdr:colOff>1188720</xdr:colOff>
          <xdr:row>11</xdr:row>
          <xdr:rowOff>68580</xdr:rowOff>
        </xdr:to>
        <xdr:sp macro="" textlink="">
          <xdr:nvSpPr>
            <xdr:cNvPr id="1178" name="trabalhoLabel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</xdr:colOff>
          <xdr:row>4</xdr:row>
          <xdr:rowOff>175260</xdr:rowOff>
        </xdr:from>
        <xdr:to>
          <xdr:col>6</xdr:col>
          <xdr:colOff>1173480</xdr:colOff>
          <xdr:row>5</xdr:row>
          <xdr:rowOff>129540</xdr:rowOff>
        </xdr:to>
        <xdr:sp macro="" textlink="">
          <xdr:nvSpPr>
            <xdr:cNvPr id="1179" name="materiaLabel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121920</xdr:rowOff>
    </xdr:to>
    <xdr:sp macro="" textlink="">
      <xdr:nvSpPr>
        <xdr:cNvPr id="1201" name="avatar">
          <a:extLst>
            <a:ext uri="{FF2B5EF4-FFF2-40B4-BE49-F238E27FC236}">
              <a16:creationId xmlns:a16="http://schemas.microsoft.com/office/drawing/2014/main" id="{00000000-0008-0000-01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755142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6</xdr:col>
      <xdr:colOff>815527</xdr:colOff>
      <xdr:row>18</xdr:row>
      <xdr:rowOff>141692</xdr:rowOff>
    </xdr:from>
    <xdr:to>
      <xdr:col>6</xdr:col>
      <xdr:colOff>1175527</xdr:colOff>
      <xdr:row>20</xdr:row>
      <xdr:rowOff>136436</xdr:rowOff>
    </xdr:to>
    <xdr:pic macro="[0]!chamaFormulario">
      <xdr:nvPicPr>
        <xdr:cNvPr id="6" name="Gráfico 5" descr="Adicionar com preenchimento sólid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89825" y="3428998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815527</xdr:colOff>
      <xdr:row>23</xdr:row>
      <xdr:rowOff>120702</xdr:rowOff>
    </xdr:from>
    <xdr:to>
      <xdr:col>6</xdr:col>
      <xdr:colOff>1175527</xdr:colOff>
      <xdr:row>25</xdr:row>
      <xdr:rowOff>115446</xdr:rowOff>
    </xdr:to>
    <xdr:pic macro="[0]!chamalista">
      <xdr:nvPicPr>
        <xdr:cNvPr id="9" name="Gráfico 8" descr="Área de Transferência com preenchimento sólid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89825" y="4321148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815527</xdr:colOff>
      <xdr:row>21</xdr:row>
      <xdr:rowOff>39883</xdr:rowOff>
    </xdr:from>
    <xdr:to>
      <xdr:col>6</xdr:col>
      <xdr:colOff>1175527</xdr:colOff>
      <xdr:row>23</xdr:row>
      <xdr:rowOff>34627</xdr:rowOff>
    </xdr:to>
    <xdr:pic macro="[0]!Atualizar1">
      <xdr:nvPicPr>
        <xdr:cNvPr id="13" name="Gráfico 12" descr="Atualizar com preenchimento sólid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489825" y="3875073"/>
          <a:ext cx="360000" cy="36000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765667</xdr:colOff>
      <xdr:row>26</xdr:row>
      <xdr:rowOff>18893</xdr:rowOff>
    </xdr:from>
    <xdr:to>
      <xdr:col>6</xdr:col>
      <xdr:colOff>1225387</xdr:colOff>
      <xdr:row>28</xdr:row>
      <xdr:rowOff>113357</xdr:rowOff>
    </xdr:to>
    <xdr:pic macro="[0]!atalhoVba">
      <xdr:nvPicPr>
        <xdr:cNvPr id="15" name="Gráfico 14" descr="Engrenagem única com preenchimento sólid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439965" y="4767224"/>
          <a:ext cx="459720" cy="459720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1053084</xdr:colOff>
      <xdr:row>0</xdr:row>
      <xdr:rowOff>34592</xdr:rowOff>
    </xdr:from>
    <xdr:to>
      <xdr:col>6</xdr:col>
      <xdr:colOff>1251084</xdr:colOff>
      <xdr:row>1</xdr:row>
      <xdr:rowOff>49964</xdr:rowOff>
    </xdr:to>
    <xdr:pic macro="[0]!abrirTrabalhos">
      <xdr:nvPicPr>
        <xdr:cNvPr id="22" name="Gráfico 21" descr="Banco de dados com preenchimento sólid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727382" y="34592"/>
          <a:ext cx="198000" cy="198000"/>
        </a:xfrm>
        <a:prstGeom prst="rect">
          <a:avLst/>
        </a:prstGeom>
      </xdr:spPr>
    </xdr:pic>
    <xdr:clientData/>
  </xdr:twoCellAnchor>
  <xdr:twoCellAnchor>
    <xdr:from>
      <xdr:col>6</xdr:col>
      <xdr:colOff>117508</xdr:colOff>
      <xdr:row>19</xdr:row>
      <xdr:rowOff>116514</xdr:rowOff>
    </xdr:from>
    <xdr:to>
      <xdr:col>6</xdr:col>
      <xdr:colOff>709475</xdr:colOff>
      <xdr:row>27</xdr:row>
      <xdr:rowOff>86287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0791806" y="3586448"/>
          <a:ext cx="591967" cy="1430798"/>
          <a:chOff x="10804026" y="3621077"/>
          <a:chExt cx="591967" cy="1430798"/>
        </a:xfrm>
      </xdr:grpSpPr>
      <xdr:sp macro="[0]!ativaEtec1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0804026" y="3621077"/>
            <a:ext cx="591967" cy="648645"/>
          </a:xfrm>
          <a:prstGeom prst="round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pt-BR" sz="1100"/>
              <a:t>etec1</a:t>
            </a:r>
          </a:p>
        </xdr:txBody>
      </xdr:sp>
      <xdr:sp macro="[0]!ativaEtec2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0804026" y="4403230"/>
            <a:ext cx="591967" cy="648645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pt-BR" sz="1100">
                <a:solidFill>
                  <a:schemeClr val="bg1">
                    <a:lumMod val="75000"/>
                  </a:schemeClr>
                </a:solidFill>
              </a:rPr>
              <a:t>etec2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127653</xdr:colOff>
      <xdr:row>512</xdr:row>
      <xdr:rowOff>58611</xdr:rowOff>
    </xdr:from>
    <xdr:to>
      <xdr:col>11</xdr:col>
      <xdr:colOff>84648</xdr:colOff>
      <xdr:row>514</xdr:row>
      <xdr:rowOff>46649</xdr:rowOff>
    </xdr:to>
    <xdr:sp macro="[0]!Ocult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87418" y="1866493"/>
          <a:ext cx="739913" cy="346627"/>
        </a:xfrm>
        <a:prstGeom prst="roundRect">
          <a:avLst/>
        </a:prstGeom>
        <a:gradFill flip="none" rotWithShape="1">
          <a:gsLst>
            <a:gs pos="0">
              <a:schemeClr val="tx1">
                <a:lumMod val="85000"/>
                <a:lumOff val="1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3500000" scaled="1"/>
          <a:tileRect/>
        </a:gradFill>
        <a:ln>
          <a:noFill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bg1"/>
              </a:solidFill>
              <a:effectLst>
                <a:glow rad="1016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Resu mo</a:t>
          </a:r>
        </a:p>
      </xdr:txBody>
    </xdr:sp>
    <xdr:clientData/>
  </xdr:twoCellAnchor>
  <xdr:twoCellAnchor editAs="oneCell">
    <xdr:from>
      <xdr:col>10</xdr:col>
      <xdr:colOff>440765</xdr:colOff>
      <xdr:row>515</xdr:row>
      <xdr:rowOff>107713</xdr:rowOff>
    </xdr:from>
    <xdr:to>
      <xdr:col>11</xdr:col>
      <xdr:colOff>414857</xdr:colOff>
      <xdr:row>520</xdr:row>
      <xdr:rowOff>134122</xdr:rowOff>
    </xdr:to>
    <xdr:sp macro="[0]!Reexib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3200530" y="2453478"/>
          <a:ext cx="757010" cy="922878"/>
        </a:xfrm>
        <a:prstGeom prst="roundRect">
          <a:avLst/>
        </a:prstGeom>
        <a:gradFill flip="none" rotWithShape="1">
          <a:gsLst>
            <a:gs pos="0">
              <a:schemeClr val="tx1">
                <a:lumMod val="85000"/>
                <a:lumOff val="1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3500000" scaled="1"/>
          <a:tileRect/>
        </a:gradFill>
        <a:ln>
          <a:noFill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overflow" horzOverflow="overflow" vert="horz" rtlCol="0" anchor="ctr"/>
        <a:lstStyle/>
        <a:p>
          <a:pPr lvl="0" algn="ctr"/>
          <a:r>
            <a:rPr lang="pt-BR" sz="900">
              <a:solidFill>
                <a:schemeClr val="bg1"/>
              </a:solidFill>
              <a:effectLst>
                <a:glow rad="1016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Detalh es</a:t>
          </a:r>
        </a:p>
      </xdr:txBody>
    </xdr:sp>
    <xdr:clientData/>
  </xdr:twoCellAnchor>
  <xdr:twoCellAnchor editAs="oneCell">
    <xdr:from>
      <xdr:col>10</xdr:col>
      <xdr:colOff>374338</xdr:colOff>
      <xdr:row>13</xdr:row>
      <xdr:rowOff>173182</xdr:rowOff>
    </xdr:from>
    <xdr:to>
      <xdr:col>11</xdr:col>
      <xdr:colOff>265983</xdr:colOff>
      <xdr:row>21</xdr:row>
      <xdr:rowOff>71069</xdr:rowOff>
    </xdr:to>
    <xdr:sp macro="[0]!chamaFormulari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14003747" y="2545773"/>
          <a:ext cx="672797" cy="1352613"/>
        </a:xfrm>
        <a:prstGeom prst="roundRect">
          <a:avLst/>
        </a:prstGeom>
        <a:gradFill flip="none" rotWithShape="1">
          <a:gsLst>
            <a:gs pos="0">
              <a:schemeClr val="bg2">
                <a:lumMod val="25000"/>
                <a:alpha val="74000"/>
              </a:schemeClr>
            </a:gs>
            <a:gs pos="100000">
              <a:schemeClr val="bg2">
                <a:lumMod val="50000"/>
              </a:schemeClr>
            </a:gs>
          </a:gsLst>
          <a:lin ang="13500000" scaled="1"/>
          <a:tileRect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pt-BR" sz="1400">
              <a:effectLst>
                <a:glow rad="1397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+</a:t>
          </a:r>
        </a:p>
      </xdr:txBody>
    </xdr:sp>
    <xdr:clientData/>
  </xdr:twoCellAnchor>
  <xdr:twoCellAnchor>
    <xdr:from>
      <xdr:col>5</xdr:col>
      <xdr:colOff>163605</xdr:colOff>
      <xdr:row>17</xdr:row>
      <xdr:rowOff>177758</xdr:rowOff>
    </xdr:from>
    <xdr:to>
      <xdr:col>5</xdr:col>
      <xdr:colOff>1315936</xdr:colOff>
      <xdr:row>25</xdr:row>
      <xdr:rowOff>134468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9926170" y="3225758"/>
          <a:ext cx="1152331" cy="1391063"/>
          <a:chOff x="7799293" y="2795455"/>
          <a:chExt cx="1280079" cy="1391063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pSpPr/>
        </xdr:nvGrpSpPr>
        <xdr:grpSpPr>
          <a:xfrm>
            <a:off x="7799293" y="2841812"/>
            <a:ext cx="1075765" cy="1344706"/>
            <a:chOff x="8050306" y="2886635"/>
            <a:chExt cx="1075765" cy="1344706"/>
          </a:xfrm>
        </xdr:grpSpPr>
        <xdr:sp macro="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8050307" y="2886635"/>
              <a:ext cx="1075764" cy="1344706"/>
            </a:xfrm>
            <a:prstGeom prst="roundRect">
              <a:avLst>
                <a:gd name="adj" fmla="val 6667"/>
              </a:avLst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4" name="Agrupar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GrpSpPr/>
          </xdr:nvGrpSpPr>
          <xdr:grpSpPr>
            <a:xfrm>
              <a:off x="8050306" y="3056962"/>
              <a:ext cx="1075764" cy="1174374"/>
              <a:chOff x="8050306" y="3056962"/>
              <a:chExt cx="1075764" cy="1174374"/>
            </a:xfrm>
          </xdr:grpSpPr>
          <xdr:sp macro="[0]!ativaEtec1" textlink="">
            <xdr:nvSpPr>
              <xdr:cNvPr id="10" name="Retângulo: Cantos Arredondados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8050306" y="3092824"/>
                <a:ext cx="1075764" cy="1138512"/>
              </a:xfrm>
              <a:prstGeom prst="roundRect">
                <a:avLst>
                  <a:gd name="adj" fmla="val 6667"/>
                </a:avLst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[0]!ativaEtec1" textlink="">
            <xdr:nvSpPr>
              <xdr:cNvPr id="11" name="Retângulo: Cantos Arredondados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8050306" y="3056962"/>
                <a:ext cx="1075764" cy="959223"/>
              </a:xfrm>
              <a:prstGeom prst="roundRect">
                <a:avLst>
                  <a:gd name="adj" fmla="val 0"/>
                </a:avLst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 macro="[0]!ativaEtec1">
          <xdr:nvPicPr>
            <xdr:cNvPr id="13" name="Gráfico 12" descr="Voltar com preenchimento sólido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8130988" y="3186949"/>
              <a:ext cx="914400" cy="914400"/>
            </a:xfrm>
            <a:prstGeom prst="rect">
              <a:avLst/>
            </a:prstGeom>
          </xdr:spPr>
        </xdr:pic>
      </xdr:grpSp>
      <xdr:pic>
        <xdr:nvPicPr>
          <xdr:cNvPr id="21" name="Gráfico 20" descr="Tela sensível ao toque com preenchimento sólido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19857201">
            <a:off x="8619556" y="2795455"/>
            <a:ext cx="459816" cy="45981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</xdr:colOff>
      <xdr:row>19</xdr:row>
      <xdr:rowOff>121920</xdr:rowOff>
    </xdr:from>
    <xdr:to>
      <xdr:col>10</xdr:col>
      <xdr:colOff>373380</xdr:colOff>
      <xdr:row>22</xdr:row>
      <xdr:rowOff>7620</xdr:rowOff>
    </xdr:to>
    <xdr:sp macro="[0]!chama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429500" y="4770120"/>
          <a:ext cx="2804160" cy="4343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CE167E2-30D8-4A66-B167-B440D8C8B78F}" autoFormatId="16" applyNumberFormats="0" applyBorderFormats="0" applyFontFormats="0" applyPatternFormats="0" applyAlignmentFormats="0" applyWidthHeightFormats="0">
  <queryTableRefresh nextId="11">
    <queryTableFields count="6">
      <queryTableField id="1" name="TRABALHO" tableColumnId="1"/>
      <queryTableField id="2" name="MATÉRIA" tableColumnId="2"/>
      <queryTableField id="7" name="DATA" tableColumnId="7"/>
      <queryTableField id="8" name="HORA" tableColumnId="8"/>
      <queryTableField id="5" name="STATUS" tableColumnId="5"/>
      <queryTableField id="6" name="ANALIS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FF2CB73-A533-40F7-BF2C-7CAA02CEC66E}" autoFormatId="16" applyNumberFormats="0" applyBorderFormats="0" applyFontFormats="0" applyPatternFormats="0" applyAlignmentFormats="0" applyWidthHeightFormats="0">
  <queryTableRefresh nextId="11">
    <queryTableFields count="6">
      <queryTableField id="1" name="TRABALHO" tableColumnId="1"/>
      <queryTableField id="2" name="MATÉRIA" tableColumnId="2"/>
      <queryTableField id="7" name="DATA" tableColumnId="7"/>
      <queryTableField id="8" name="HORA" tableColumnId="8"/>
      <queryTableField id="5" name="STATUS" tableColumnId="5"/>
      <queryTableField id="6" name="ANALIS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9D757E-07E6-4CE3-87AE-A28CDD61EB2F}" name="Tabela12_2" displayName="Tabela12_2" ref="A1:F3" tableType="queryTable" totalsRowShown="0" headerRowDxfId="45" dataDxfId="44">
  <autoFilter ref="A1:F3" xr:uid="{90316A42-79A7-4DE6-803B-8252B1BC5C9E}"/>
  <tableColumns count="6">
    <tableColumn id="1" xr3:uid="{D06E216B-7150-40CB-B582-67A11D48A3F5}" uniqueName="1" name="TRABALHO" queryTableFieldId="1" dataDxfId="43"/>
    <tableColumn id="2" xr3:uid="{77C1D043-D5E8-4F61-BF8C-09E6A05F6644}" uniqueName="2" name="MATÉRIA" queryTableFieldId="2" dataDxfId="42"/>
    <tableColumn id="7" xr3:uid="{A31B1750-862F-40BC-9739-DA54D5452EF5}" uniqueName="7" name="DATA" queryTableFieldId="7" dataDxfId="41"/>
    <tableColumn id="8" xr3:uid="{F04508CC-85C8-41D4-8478-2DB8B05CF58C}" uniqueName="8" name="HORA" queryTableFieldId="8" dataDxfId="40"/>
    <tableColumn id="5" xr3:uid="{0866587F-B48B-40A7-9640-9DA369596569}" uniqueName="5" name="STATUS" queryTableFieldId="5" dataDxfId="39"/>
    <tableColumn id="6" xr3:uid="{387D79B4-D66D-4A54-9DB7-AA29072A5250}" uniqueName="6" name="ANALISE" queryTableFieldId="6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DF5B95-FB4E-482D-9C4C-B2A5F3A08FDD}" name="tabelaetec1" displayName="tabelaetec1" ref="A1:F2" tableType="queryTable" insertRow="1" totalsRowShown="0" headerRowDxfId="37" dataDxfId="36">
  <autoFilter ref="A1:F2" xr:uid="{5E2D3D2D-1569-403F-A836-5B50A2A705F8}"/>
  <sortState xmlns:xlrd2="http://schemas.microsoft.com/office/spreadsheetml/2017/richdata2" ref="A2:F2">
    <sortCondition descending="1" ref="F1:F2"/>
  </sortState>
  <tableColumns count="6">
    <tableColumn id="1" xr3:uid="{5F46877E-05F5-46A5-B6D7-1B1312AC7B65}" uniqueName="1" name="TRABALHO" queryTableFieldId="1" dataDxfId="5"/>
    <tableColumn id="2" xr3:uid="{F290E1A1-FB83-42FE-995A-5946A83C5114}" uniqueName="2" name="MATÉRIA" queryTableFieldId="2" dataDxfId="4"/>
    <tableColumn id="7" xr3:uid="{CF99AF37-F13E-4721-B3F5-CD814906ECFF}" uniqueName="7" name="DATA" queryTableFieldId="7" dataDxfId="3"/>
    <tableColumn id="8" xr3:uid="{F457DBDA-DD28-4DF5-B17C-A35AFA17B5A2}" uniqueName="8" name="HORA" queryTableFieldId="8" dataDxfId="2"/>
    <tableColumn id="5" xr3:uid="{35353E46-37FB-4E18-B378-E33614EA59DC}" uniqueName="5" name="STATUS" queryTableFieldId="5" dataDxfId="1"/>
    <tableColumn id="6" xr3:uid="{11FBF944-A805-4923-BFDD-568F2361CE29}" uniqueName="6" name="ANALISE" queryTableFieldId="6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E3F54A-8D00-4A21-8E8A-C7FD9CADB89E}" name="Tabela7" displayName="Tabela7" ref="A1:K12" totalsRowShown="0" headerRowDxfId="35" dataDxfId="34">
  <autoFilter ref="A1:K12" xr:uid="{99D2A2A6-078B-46E8-A2C9-92481044AD09}"/>
  <tableColumns count="11">
    <tableColumn id="1" xr3:uid="{88254543-6696-49F8-8A5C-E163DC02A2E1}" name="NÚMERO" dataDxfId="33"/>
    <tableColumn id="2" xr3:uid="{C45AB4D7-59F6-4B87-A675-1DCB48A94F7D}" name="TRABALHO" dataDxfId="32"/>
    <tableColumn id="3" xr3:uid="{8ADFD13A-CC40-4D55-AE59-20C5DF93623A}" name="MATÉRIA" dataDxfId="31"/>
    <tableColumn id="4" xr3:uid="{3A7C79C4-F6B2-4B52-834B-30923E264C42}" name="DATA ENTREGA" dataDxfId="30"/>
    <tableColumn id="5" xr3:uid="{1954CA56-6406-4DB4-B85A-699BDDB017B6}" name="HORA ENTREGA" dataDxfId="29"/>
    <tableColumn id="6" xr3:uid="{D941D731-05D6-48B4-9311-E597E16A6462}" name="DATA PASSADO" dataDxfId="28"/>
    <tableColumn id="7" xr3:uid="{3FD5CE2A-3F4B-4DC1-8768-198C5B1DDA80}" name="HORA PASSADO" dataDxfId="27"/>
    <tableColumn id="8" xr3:uid="{0E402988-ADC9-4A33-A0D8-18E75DA695A7}" name="STATUS" dataDxfId="26"/>
    <tableColumn id="9" xr3:uid="{59BBFF88-448C-4424-A501-8FC600E43EEE}" name="ANALISE" dataDxfId="25">
      <calculatedColumnFormula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calculatedColumnFormula>
    </tableColumn>
    <tableColumn id="10" xr3:uid="{916E9C30-3C57-4D05-A315-662B4373BE9A}" name="DATA" dataDxfId="24"/>
    <tableColumn id="11" xr3:uid="{B7158563-6213-4EAC-ACDE-2E9BCED6ECA5}" name="HORA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CD3C105-524B-4E45-BEE1-5096E7214B1F}" name="Tabela12" displayName="Tabela12" ref="A1:K8" totalsRowShown="0">
  <autoFilter ref="A1:K8" xr:uid="{DAAA92F2-58DF-477B-99BA-B44B7DE52620}"/>
  <tableColumns count="11">
    <tableColumn id="1" xr3:uid="{F84E9EAC-E94F-474E-998B-610F634A2E3E}" name="NÚMERO" dataDxfId="22"/>
    <tableColumn id="2" xr3:uid="{85A85853-8FC2-43EB-A5E9-FCAE219A7A92}" name="TRABALHO" dataDxfId="21"/>
    <tableColumn id="3" xr3:uid="{D297E6F2-17EA-4E42-8D82-6DD66CC89B6C}" name="MATÉRIA" dataDxfId="20"/>
    <tableColumn id="4" xr3:uid="{35B9DC5E-E1C3-420F-9A4D-EFF6576AC3D0}" name="DATA ENTREGA" dataDxfId="19"/>
    <tableColumn id="5" xr3:uid="{4757BCD7-BB58-4F5C-8FDC-FCB545FCC9A0}" name="HORA ENTREGA" dataDxfId="18"/>
    <tableColumn id="6" xr3:uid="{4794A2A6-16D4-44C4-9E27-BA57459883C8}" name="DATA PASSADO" dataDxfId="17"/>
    <tableColumn id="7" xr3:uid="{131BAC89-BFB0-4EFB-BDE6-59E9250FFE1F}" name="HORA PASSADO" dataDxfId="16"/>
    <tableColumn id="8" xr3:uid="{470F4A71-3918-46EA-B518-E236DE319C36}" name="STATUS" dataDxfId="15"/>
    <tableColumn id="9" xr3:uid="{0C47BA5C-F926-4B8F-899C-FE8B695693E6}" name="ANALISE" dataDxfId="14">
      <calculatedColumnFormula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calculatedColumnFormula>
    </tableColumn>
    <tableColumn id="10" xr3:uid="{C1F5C966-4ED5-495C-A3C2-2023ACC35882}" name="DATA" dataDxfId="13"/>
    <tableColumn id="11" xr3:uid="{C4A8040C-3FC7-45B3-BB84-80FDFEAA9FBA}" name="HORA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8DA881-CBC7-4C7A-A9E7-F310630C4FF8}" name="Tabela1" displayName="Tabela1" ref="A1:A11" totalsRowShown="0" headerRowDxfId="11" dataDxfId="10">
  <autoFilter ref="A1:A11" xr:uid="{CF5982C2-8C41-4ACB-8098-ECB52AFA6059}"/>
  <tableColumns count="1">
    <tableColumn id="1" xr3:uid="{F5644FAB-3F21-48E6-BE75-6FCC76FB1ECF}" name="MATÉRIAS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9F75A5-281A-4042-BAB8-1917FDB5A8D4}" name="Tabela17" displayName="Tabela17" ref="K1:K12" totalsRowShown="0" headerRowDxfId="8" dataDxfId="7">
  <autoFilter ref="K1:K12" xr:uid="{0E2B9E1D-1B59-4B9B-82CF-A7BA2104B67B}"/>
  <tableColumns count="1">
    <tableColumn id="1" xr3:uid="{0EE94F82-AE12-491F-A96B-9B8E5164F6E6}" name="MATÉRIAS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12.emf"/><Relationship Id="rId18" Type="http://schemas.openxmlformats.org/officeDocument/2006/relationships/control" Target="../activeX/activeX24.xml"/><Relationship Id="rId26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38.emf"/><Relationship Id="rId34" Type="http://schemas.openxmlformats.org/officeDocument/2006/relationships/table" Target="../tables/table2.xml"/><Relationship Id="rId7" Type="http://schemas.openxmlformats.org/officeDocument/2006/relationships/image" Target="../media/image32.emf"/><Relationship Id="rId12" Type="http://schemas.openxmlformats.org/officeDocument/2006/relationships/control" Target="../activeX/activeX21.xml"/><Relationship Id="rId17" Type="http://schemas.openxmlformats.org/officeDocument/2006/relationships/image" Target="../media/image36.emf"/><Relationship Id="rId25" Type="http://schemas.openxmlformats.org/officeDocument/2006/relationships/image" Target="../media/image40.emf"/><Relationship Id="rId33" Type="http://schemas.openxmlformats.org/officeDocument/2006/relationships/image" Target="../media/image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29" Type="http://schemas.openxmlformats.org/officeDocument/2006/relationships/image" Target="../media/image4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11" Type="http://schemas.openxmlformats.org/officeDocument/2006/relationships/image" Target="../media/image34.emf"/><Relationship Id="rId24" Type="http://schemas.openxmlformats.org/officeDocument/2006/relationships/control" Target="../activeX/activeX27.xml"/><Relationship Id="rId32" Type="http://schemas.openxmlformats.org/officeDocument/2006/relationships/control" Target="../activeX/activeX31.xml"/><Relationship Id="rId5" Type="http://schemas.openxmlformats.org/officeDocument/2006/relationships/image" Target="../media/image31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28" Type="http://schemas.openxmlformats.org/officeDocument/2006/relationships/control" Target="../activeX/activeX29.xml"/><Relationship Id="rId10" Type="http://schemas.openxmlformats.org/officeDocument/2006/relationships/control" Target="../activeX/activeX20.xml"/><Relationship Id="rId19" Type="http://schemas.openxmlformats.org/officeDocument/2006/relationships/image" Target="../media/image37.emf"/><Relationship Id="rId31" Type="http://schemas.openxmlformats.org/officeDocument/2006/relationships/image" Target="../media/image2.emf"/><Relationship Id="rId4" Type="http://schemas.openxmlformats.org/officeDocument/2006/relationships/control" Target="../activeX/activeX17.xml"/><Relationship Id="rId9" Type="http://schemas.openxmlformats.org/officeDocument/2006/relationships/image" Target="../media/image33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6.xml"/><Relationship Id="rId27" Type="http://schemas.openxmlformats.org/officeDocument/2006/relationships/image" Target="../media/image41.emf"/><Relationship Id="rId30" Type="http://schemas.openxmlformats.org/officeDocument/2006/relationships/control" Target="../activeX/activeX3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9679-3C5E-4786-B472-74499412248E}">
  <sheetPr codeName="Planilha5"/>
  <dimension ref="A1:Q38"/>
  <sheetViews>
    <sheetView showGridLines="0" showRowColHeaders="0" zoomScale="121" zoomScaleNormal="121" workbookViewId="0">
      <selection activeCell="E18" sqref="E18"/>
    </sheetView>
  </sheetViews>
  <sheetFormatPr defaultRowHeight="14.4" x14ac:dyDescent="0.3"/>
  <cols>
    <col min="1" max="1" width="69.77734375" style="21" customWidth="1"/>
    <col min="2" max="2" width="14.77734375" style="21" customWidth="1"/>
    <col min="3" max="4" width="12.77734375" style="21" customWidth="1"/>
    <col min="5" max="7" width="22.77734375" style="21" customWidth="1"/>
    <col min="8" max="8" width="22.77734375" style="20" customWidth="1"/>
    <col min="9" max="9" width="24.109375" style="20" customWidth="1"/>
    <col min="10" max="11" width="22.77734375" style="20" customWidth="1"/>
    <col min="12" max="12" width="28.77734375" style="20" customWidth="1"/>
    <col min="13" max="13" width="30.77734375" style="20" customWidth="1"/>
    <col min="14" max="14" width="18.33203125" style="20" customWidth="1"/>
    <col min="15" max="15" width="18.77734375" style="20" customWidth="1"/>
    <col min="16" max="16" width="16.88671875" bestFit="1" customWidth="1"/>
    <col min="17" max="17" width="36.88671875" bestFit="1" customWidth="1"/>
    <col min="18" max="18" width="13.77734375" bestFit="1" customWidth="1"/>
    <col min="19" max="19" width="14.6640625" bestFit="1" customWidth="1"/>
    <col min="20" max="20" width="20.44140625" bestFit="1" customWidth="1"/>
    <col min="21" max="21" width="18.33203125" customWidth="1"/>
    <col min="22" max="22" width="23.21875" customWidth="1"/>
    <col min="23" max="23" width="0.77734375" customWidth="1"/>
  </cols>
  <sheetData>
    <row r="1" spans="1:17" x14ac:dyDescent="0.3">
      <c r="A1" s="28" t="s">
        <v>12</v>
      </c>
      <c r="B1" s="28" t="s">
        <v>13</v>
      </c>
      <c r="C1" s="29" t="s">
        <v>20</v>
      </c>
      <c r="D1" s="29" t="s">
        <v>19</v>
      </c>
      <c r="E1" s="28" t="s">
        <v>14</v>
      </c>
      <c r="F1" s="28" t="s">
        <v>15</v>
      </c>
      <c r="G1" s="15"/>
      <c r="H1"/>
      <c r="M1"/>
      <c r="N1"/>
      <c r="O1"/>
    </row>
    <row r="2" spans="1:17" x14ac:dyDescent="0.3">
      <c r="A2" s="38" t="s">
        <v>57</v>
      </c>
      <c r="B2" s="27" t="s">
        <v>38</v>
      </c>
      <c r="C2" s="8">
        <v>44254</v>
      </c>
      <c r="D2" s="30">
        <v>0.70833333333333337</v>
      </c>
      <c r="E2" s="27" t="s">
        <v>16</v>
      </c>
      <c r="F2" s="26">
        <v>0.31774493106279</v>
      </c>
      <c r="G2" s="15"/>
      <c r="H2"/>
      <c r="M2"/>
      <c r="N2"/>
      <c r="O2"/>
    </row>
    <row r="3" spans="1:17" x14ac:dyDescent="0.3">
      <c r="A3" s="38" t="s">
        <v>58</v>
      </c>
      <c r="B3" s="27" t="s">
        <v>37</v>
      </c>
      <c r="C3" s="8">
        <v>44252</v>
      </c>
      <c r="D3" s="30">
        <v>0.99930555555555556</v>
      </c>
      <c r="E3" s="27" t="s">
        <v>16</v>
      </c>
      <c r="F3" s="26">
        <v>0.45352723273809997</v>
      </c>
      <c r="G3" s="15"/>
      <c r="H3" s="26">
        <v>1</v>
      </c>
      <c r="J3" s="19"/>
      <c r="M3"/>
      <c r="N3"/>
      <c r="O3"/>
    </row>
    <row r="4" spans="1:17" x14ac:dyDescent="0.3">
      <c r="G4" s="15"/>
      <c r="H4" s="26">
        <v>0</v>
      </c>
      <c r="J4" s="26"/>
      <c r="L4" s="33"/>
      <c r="M4"/>
      <c r="N4"/>
      <c r="O4" s="14"/>
    </row>
    <row r="5" spans="1:17" x14ac:dyDescent="0.3">
      <c r="G5" s="15"/>
      <c r="N5" s="19"/>
      <c r="O5"/>
      <c r="Q5" s="14"/>
    </row>
    <row r="6" spans="1:17" x14ac:dyDescent="0.3">
      <c r="G6" s="15"/>
      <c r="N6" s="19"/>
      <c r="O6" s="19"/>
      <c r="P6" s="8"/>
      <c r="Q6" s="14"/>
    </row>
    <row r="7" spans="1:17" x14ac:dyDescent="0.3">
      <c r="G7" s="15"/>
      <c r="I7" s="20" t="s">
        <v>32</v>
      </c>
      <c r="N7" s="19"/>
      <c r="O7" s="19"/>
      <c r="P7" s="8"/>
      <c r="Q7" s="14"/>
    </row>
    <row r="8" spans="1:17" x14ac:dyDescent="0.3">
      <c r="G8" s="15"/>
      <c r="O8" s="19"/>
      <c r="P8" s="14"/>
      <c r="Q8" s="8"/>
    </row>
    <row r="9" spans="1:17" x14ac:dyDescent="0.3">
      <c r="G9" s="15"/>
      <c r="O9" s="19"/>
      <c r="P9" s="14"/>
      <c r="Q9" s="8"/>
    </row>
    <row r="10" spans="1:17" x14ac:dyDescent="0.3">
      <c r="G10" s="15"/>
      <c r="O10" s="19"/>
      <c r="P10" s="14"/>
      <c r="Q10" s="8"/>
    </row>
    <row r="11" spans="1:17" x14ac:dyDescent="0.3">
      <c r="G11" s="15"/>
      <c r="O11" s="19"/>
      <c r="P11" s="14"/>
      <c r="Q11" s="8"/>
    </row>
    <row r="12" spans="1:17" x14ac:dyDescent="0.3">
      <c r="G12" s="15"/>
      <c r="O12" s="19"/>
      <c r="P12" s="14"/>
      <c r="Q12" s="8"/>
    </row>
    <row r="13" spans="1:17" x14ac:dyDescent="0.3">
      <c r="G13" s="15"/>
      <c r="O13" s="19"/>
      <c r="P13" s="14"/>
      <c r="Q13" s="8"/>
    </row>
    <row r="14" spans="1:17" x14ac:dyDescent="0.3">
      <c r="G14" s="15"/>
      <c r="O14" s="19"/>
      <c r="P14" s="14"/>
      <c r="Q14" s="8"/>
    </row>
    <row r="15" spans="1:17" x14ac:dyDescent="0.3">
      <c r="G15" s="15"/>
      <c r="O15" s="19"/>
      <c r="P15" s="14"/>
      <c r="Q15" s="8"/>
    </row>
    <row r="16" spans="1:17" x14ac:dyDescent="0.3">
      <c r="G16" s="15"/>
      <c r="O16" s="19"/>
      <c r="P16" s="14"/>
      <c r="Q16" s="8"/>
    </row>
    <row r="17" spans="7:17" x14ac:dyDescent="0.3">
      <c r="G17" s="15"/>
      <c r="O17" s="19"/>
      <c r="P17" s="14"/>
      <c r="Q17" s="8"/>
    </row>
    <row r="18" spans="7:17" x14ac:dyDescent="0.3">
      <c r="G18" s="15"/>
      <c r="O18" s="19"/>
      <c r="P18" s="14"/>
      <c r="Q18" s="8"/>
    </row>
    <row r="19" spans="7:17" x14ac:dyDescent="0.3">
      <c r="G19" s="15"/>
    </row>
    <row r="20" spans="7:17" x14ac:dyDescent="0.3">
      <c r="G20" s="15"/>
    </row>
    <row r="21" spans="7:17" x14ac:dyDescent="0.3">
      <c r="G21" s="15"/>
    </row>
    <row r="22" spans="7:17" x14ac:dyDescent="0.3">
      <c r="G22" s="15"/>
    </row>
    <row r="23" spans="7:17" x14ac:dyDescent="0.3">
      <c r="G23" s="15"/>
    </row>
    <row r="24" spans="7:17" x14ac:dyDescent="0.3">
      <c r="G24" s="15"/>
    </row>
    <row r="25" spans="7:17" x14ac:dyDescent="0.3">
      <c r="G25" s="15"/>
    </row>
    <row r="26" spans="7:17" x14ac:dyDescent="0.3">
      <c r="G26" s="15"/>
    </row>
    <row r="27" spans="7:17" x14ac:dyDescent="0.3">
      <c r="G27" s="15"/>
    </row>
    <row r="28" spans="7:17" x14ac:dyDescent="0.3">
      <c r="G28" s="15"/>
    </row>
    <row r="29" spans="7:17" x14ac:dyDescent="0.3">
      <c r="G29" s="15"/>
    </row>
    <row r="30" spans="7:17" x14ac:dyDescent="0.3">
      <c r="G30" s="15"/>
    </row>
    <row r="31" spans="7:17" x14ac:dyDescent="0.3">
      <c r="G31" s="15"/>
    </row>
    <row r="32" spans="7:17" x14ac:dyDescent="0.3">
      <c r="G32" s="15"/>
    </row>
    <row r="33" spans="7:7" x14ac:dyDescent="0.3">
      <c r="G33" s="15"/>
    </row>
    <row r="34" spans="7:7" x14ac:dyDescent="0.3">
      <c r="G34" s="15"/>
    </row>
    <row r="35" spans="7:7" x14ac:dyDescent="0.3">
      <c r="G35" s="15"/>
    </row>
    <row r="36" spans="7:7" x14ac:dyDescent="0.3">
      <c r="G36" s="15"/>
    </row>
    <row r="37" spans="7:7" x14ac:dyDescent="0.3">
      <c r="G37" s="15"/>
    </row>
    <row r="38" spans="7:7" x14ac:dyDescent="0.3">
      <c r="G38" s="15"/>
    </row>
  </sheetData>
  <phoneticPr fontId="5" type="noConversion"/>
  <conditionalFormatting sqref="H3 K2 K5:K1048576">
    <cfRule type="dataBar" priority="2">
      <dataBar>
        <cfvo type="percent" val="0"/>
        <cfvo type="percent" val="100"/>
        <color rgb="FF002060"/>
      </dataBar>
      <extLst>
        <ext xmlns:x14="http://schemas.microsoft.com/office/spreadsheetml/2009/9/main" uri="{B025F937-C7B1-47D3-B67F-A62EFF666E3E}">
          <x14:id>{9C273536-85E3-42D8-9417-A035C2290D94}</x14:id>
        </ext>
      </extLst>
    </cfRule>
  </conditionalFormatting>
  <conditionalFormatting sqref="E4:E1048576 H3:H4 E2">
    <cfRule type="dataBar" priority="1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{611A61EF-BB5A-4E12-A587-8FE58EC3676A}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31" r:id="rId4" name="materiaLabel">
          <controlPr defaultSize="0" autoLine="0" r:id="rId5">
            <anchor>
              <from>
                <xdr:col>6</xdr:col>
                <xdr:colOff>769620</xdr:colOff>
                <xdr:row>4</xdr:row>
                <xdr:rowOff>167640</xdr:rowOff>
              </from>
              <to>
                <xdr:col>7</xdr:col>
                <xdr:colOff>327660</xdr:colOff>
                <xdr:row>5</xdr:row>
                <xdr:rowOff>121920</xdr:rowOff>
              </to>
            </anchor>
          </controlPr>
        </control>
      </mc:Choice>
      <mc:Fallback>
        <control shapeId="9231" r:id="rId4" name="materiaLabel"/>
      </mc:Fallback>
    </mc:AlternateContent>
    <mc:AlternateContent xmlns:mc="http://schemas.openxmlformats.org/markup-compatibility/2006">
      <mc:Choice Requires="x14">
        <control shapeId="9230" r:id="rId6" name="trabalhoLabel">
          <controlPr defaultSize="0" autoLine="0" r:id="rId7">
            <anchor>
              <from>
                <xdr:col>6</xdr:col>
                <xdr:colOff>784860</xdr:colOff>
                <xdr:row>7</xdr:row>
                <xdr:rowOff>30480</xdr:rowOff>
              </from>
              <to>
                <xdr:col>7</xdr:col>
                <xdr:colOff>342900</xdr:colOff>
                <xdr:row>11</xdr:row>
                <xdr:rowOff>68580</xdr:rowOff>
              </to>
            </anchor>
          </controlPr>
        </control>
      </mc:Choice>
      <mc:Fallback>
        <control shapeId="9230" r:id="rId6" name="trabalhoLabel"/>
      </mc:Fallback>
    </mc:AlternateContent>
    <mc:AlternateContent xmlns:mc="http://schemas.openxmlformats.org/markup-compatibility/2006">
      <mc:Choice Requires="x14">
        <control shapeId="9229" r:id="rId8" name="trabalhoplanilha">
          <controlPr defaultSize="0" autoLine="0" r:id="rId9">
            <anchor>
              <from>
                <xdr:col>6</xdr:col>
                <xdr:colOff>38100</xdr:colOff>
                <xdr:row>5</xdr:row>
                <xdr:rowOff>160020</xdr:rowOff>
              </from>
              <to>
                <xdr:col>6</xdr:col>
                <xdr:colOff>967740</xdr:colOff>
                <xdr:row>6</xdr:row>
                <xdr:rowOff>121920</xdr:rowOff>
              </to>
            </anchor>
          </controlPr>
        </control>
      </mc:Choice>
      <mc:Fallback>
        <control shapeId="9229" r:id="rId8" name="trabalhoplanilha"/>
      </mc:Fallback>
    </mc:AlternateContent>
    <mc:AlternateContent xmlns:mc="http://schemas.openxmlformats.org/markup-compatibility/2006">
      <mc:Choice Requires="x14">
        <control shapeId="9228" r:id="rId10" name="materiaplanilha">
          <controlPr defaultSize="0" autoLine="0" r:id="rId11">
            <anchor>
              <from>
                <xdr:col>6</xdr:col>
                <xdr:colOff>38100</xdr:colOff>
                <xdr:row>4</xdr:row>
                <xdr:rowOff>15240</xdr:rowOff>
              </from>
              <to>
                <xdr:col>6</xdr:col>
                <xdr:colOff>967740</xdr:colOff>
                <xdr:row>4</xdr:row>
                <xdr:rowOff>160020</xdr:rowOff>
              </to>
            </anchor>
          </controlPr>
        </control>
      </mc:Choice>
      <mc:Fallback>
        <control shapeId="9228" r:id="rId10" name="materiaplanilha"/>
      </mc:Fallback>
    </mc:AlternateContent>
    <mc:AlternateContent xmlns:mc="http://schemas.openxmlformats.org/markup-compatibility/2006">
      <mc:Choice Requires="x14">
        <control shapeId="9227" r:id="rId12" name="entregaplanilha">
          <controlPr defaultSize="0" autoLine="0" r:id="rId13">
            <anchor>
              <from>
                <xdr:col>6</xdr:col>
                <xdr:colOff>38100</xdr:colOff>
                <xdr:row>11</xdr:row>
                <xdr:rowOff>175260</xdr:rowOff>
              </from>
              <to>
                <xdr:col>6</xdr:col>
                <xdr:colOff>967740</xdr:colOff>
                <xdr:row>12</xdr:row>
                <xdr:rowOff>137160</xdr:rowOff>
              </to>
            </anchor>
          </controlPr>
        </control>
      </mc:Choice>
      <mc:Fallback>
        <control shapeId="9227" r:id="rId12" name="entregaplanilha"/>
      </mc:Fallback>
    </mc:AlternateContent>
    <mc:AlternateContent xmlns:mc="http://schemas.openxmlformats.org/markup-compatibility/2006">
      <mc:Choice Requires="x14">
        <control shapeId="9226" r:id="rId14" name="analiseLabel">
          <controlPr defaultSize="0" autoLine="0" r:id="rId15">
            <anchor>
              <from>
                <xdr:col>6</xdr:col>
                <xdr:colOff>815340</xdr:colOff>
                <xdr:row>14</xdr:row>
                <xdr:rowOff>152400</xdr:rowOff>
              </from>
              <to>
                <xdr:col>7</xdr:col>
                <xdr:colOff>304800</xdr:colOff>
                <xdr:row>16</xdr:row>
                <xdr:rowOff>15240</xdr:rowOff>
              </to>
            </anchor>
          </controlPr>
        </control>
      </mc:Choice>
      <mc:Fallback>
        <control shapeId="9226" r:id="rId14" name="analiseLabel"/>
      </mc:Fallback>
    </mc:AlternateContent>
    <mc:AlternateContent xmlns:mc="http://schemas.openxmlformats.org/markup-compatibility/2006">
      <mc:Choice Requires="x14">
        <control shapeId="9225" r:id="rId16" name="mostrarTudo">
          <controlPr defaultSize="0" print="0" autoLine="0" r:id="rId17">
            <anchor>
              <from>
                <xdr:col>6</xdr:col>
                <xdr:colOff>1402080</xdr:colOff>
                <xdr:row>3</xdr:row>
                <xdr:rowOff>83820</xdr:rowOff>
              </from>
              <to>
                <xdr:col>7</xdr:col>
                <xdr:colOff>320040</xdr:colOff>
                <xdr:row>4</xdr:row>
                <xdr:rowOff>0</xdr:rowOff>
              </to>
            </anchor>
          </controlPr>
        </control>
      </mc:Choice>
      <mc:Fallback>
        <control shapeId="9225" r:id="rId16" name="mostrarTudo"/>
      </mc:Fallback>
    </mc:AlternateContent>
    <mc:AlternateContent xmlns:mc="http://schemas.openxmlformats.org/markup-compatibility/2006">
      <mc:Choice Requires="x14">
        <control shapeId="9221" r:id="rId18" name="dataCompleta">
          <controlPr defaultSize="0" autoLine="0" r:id="rId19">
            <anchor>
              <from>
                <xdr:col>6</xdr:col>
                <xdr:colOff>784860</xdr:colOff>
                <xdr:row>12</xdr:row>
                <xdr:rowOff>160020</xdr:rowOff>
              </from>
              <to>
                <xdr:col>7</xdr:col>
                <xdr:colOff>342900</xdr:colOff>
                <xdr:row>14</xdr:row>
                <xdr:rowOff>60960</xdr:rowOff>
              </to>
            </anchor>
          </controlPr>
        </control>
      </mc:Choice>
      <mc:Fallback>
        <control shapeId="9221" r:id="rId18" name="dataCompleta"/>
      </mc:Fallback>
    </mc:AlternateContent>
    <mc:AlternateContent xmlns:mc="http://schemas.openxmlformats.org/markup-compatibility/2006">
      <mc:Choice Requires="x14">
        <control shapeId="9220" r:id="rId20" name="Label9">
          <controlPr defaultSize="0" autoLine="0" autoPict="0" r:id="rId2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  <mc:Fallback>
        <control shapeId="9220" r:id="rId20" name="Label9"/>
      </mc:Fallback>
    </mc:AlternateContent>
    <mc:AlternateContent xmlns:mc="http://schemas.openxmlformats.org/markup-compatibility/2006">
      <mc:Choice Requires="x14">
        <control shapeId="9219" r:id="rId22" name="Label8">
          <controlPr defaultSize="0" autoLine="0" r:id="rId23">
            <anchor moveWithCells="1">
              <from>
                <xdr:col>19</xdr:col>
                <xdr:colOff>464820</xdr:colOff>
                <xdr:row>19</xdr:row>
                <xdr:rowOff>0</xdr:rowOff>
              </from>
              <to>
                <xdr:col>20</xdr:col>
                <xdr:colOff>312420</xdr:colOff>
                <xdr:row>19</xdr:row>
                <xdr:rowOff>160020</xdr:rowOff>
              </to>
            </anchor>
          </controlPr>
        </control>
      </mc:Choice>
      <mc:Fallback>
        <control shapeId="9219" r:id="rId22" name="Label8"/>
      </mc:Fallback>
    </mc:AlternateContent>
    <mc:AlternateContent xmlns:mc="http://schemas.openxmlformats.org/markup-compatibility/2006">
      <mc:Choice Requires="x14">
        <control shapeId="9218" r:id="rId24" name="Label10">
          <controlPr defaultSize="0" autoLine="0" r:id="rId25">
            <anchor moveWithCells="1">
              <from>
                <xdr:col>19</xdr:col>
                <xdr:colOff>335280</xdr:colOff>
                <xdr:row>19</xdr:row>
                <xdr:rowOff>0</xdr:rowOff>
              </from>
              <to>
                <xdr:col>20</xdr:col>
                <xdr:colOff>182880</xdr:colOff>
                <xdr:row>19</xdr:row>
                <xdr:rowOff>160020</xdr:rowOff>
              </to>
            </anchor>
          </controlPr>
        </control>
      </mc:Choice>
      <mc:Fallback>
        <control shapeId="9218" r:id="rId24" name="Label10"/>
      </mc:Fallback>
    </mc:AlternateContent>
    <mc:AlternateContent xmlns:mc="http://schemas.openxmlformats.org/markup-compatibility/2006">
      <mc:Choice Requires="x14">
        <control shapeId="9217" r:id="rId26" name="Label6">
          <controlPr defaultSize="0" autoLine="0" r:id="rId27">
            <anchor moveWithCells="1">
              <from>
                <xdr:col>24</xdr:col>
                <xdr:colOff>563880</xdr:colOff>
                <xdr:row>20</xdr:row>
                <xdr:rowOff>0</xdr:rowOff>
              </from>
              <to>
                <xdr:col>27</xdr:col>
                <xdr:colOff>563880</xdr:colOff>
                <xdr:row>32</xdr:row>
                <xdr:rowOff>76200</xdr:rowOff>
              </to>
            </anchor>
          </controlPr>
        </control>
      </mc:Choice>
      <mc:Fallback>
        <control shapeId="9217" r:id="rId26" name="Label6"/>
      </mc:Fallback>
    </mc:AlternateContent>
    <mc:AlternateContent xmlns:mc="http://schemas.openxmlformats.org/markup-compatibility/2006">
      <mc:Choice Requires="x14">
        <control shapeId="9232" r:id="rId28" name="FiltroMaterias">
          <controlPr defaultSize="0" autoFill="0" autoLine="0" listFillRange="Fontes!K2:K12" r:id="rId29">
            <anchor>
              <from>
                <xdr:col>6</xdr:col>
                <xdr:colOff>91440</xdr:colOff>
                <xdr:row>2</xdr:row>
                <xdr:rowOff>83820</xdr:rowOff>
              </from>
              <to>
                <xdr:col>6</xdr:col>
                <xdr:colOff>1165860</xdr:colOff>
                <xdr:row>3</xdr:row>
                <xdr:rowOff>45720</xdr:rowOff>
              </to>
            </anchor>
          </controlPr>
        </control>
      </mc:Choice>
      <mc:Fallback>
        <control shapeId="9232" r:id="rId28" name="FiltroMaterias"/>
      </mc:Fallback>
    </mc:AlternateContent>
    <mc:AlternateContent xmlns:mc="http://schemas.openxmlformats.org/markup-compatibility/2006">
      <mc:Choice Requires="x14">
        <control shapeId="9233" r:id="rId30" name="FiltroDatas">
          <controlPr defaultSize="0" autoFill="0" autoLine="0" listFillRange="Fontes!G2:G3" r:id="rId31">
            <anchor>
              <from>
                <xdr:col>6</xdr:col>
                <xdr:colOff>91440</xdr:colOff>
                <xdr:row>1</xdr:row>
                <xdr:rowOff>68580</xdr:rowOff>
              </from>
              <to>
                <xdr:col>6</xdr:col>
                <xdr:colOff>1165860</xdr:colOff>
                <xdr:row>2</xdr:row>
                <xdr:rowOff>38100</xdr:rowOff>
              </to>
            </anchor>
          </controlPr>
        </control>
      </mc:Choice>
      <mc:Fallback>
        <control shapeId="9233" r:id="rId30" name="FiltroDatas"/>
      </mc:Fallback>
    </mc:AlternateContent>
    <mc:AlternateContent xmlns:mc="http://schemas.openxmlformats.org/markup-compatibility/2006">
      <mc:Choice Requires="x14">
        <control shapeId="9234" r:id="rId32" name="Label1">
          <controlPr defaultSize="0" autoLine="0" r:id="rId33">
            <anchor>
              <from>
                <xdr:col>6</xdr:col>
                <xdr:colOff>91440</xdr:colOff>
                <xdr:row>0</xdr:row>
                <xdr:rowOff>129540</xdr:rowOff>
              </from>
              <to>
                <xdr:col>6</xdr:col>
                <xdr:colOff>1074420</xdr:colOff>
                <xdr:row>1</xdr:row>
                <xdr:rowOff>68580</xdr:rowOff>
              </to>
            </anchor>
          </controlPr>
        </control>
      </mc:Choice>
      <mc:Fallback>
        <control shapeId="9234" r:id="rId32" name="Label1"/>
      </mc:Fallback>
    </mc:AlternateContent>
    <mc:AlternateContent xmlns:mc="http://schemas.openxmlformats.org/markup-compatibility/2006">
      <mc:Choice Requires="x14">
        <control shapeId="9235" r:id="rId34" name="Label2">
          <controlPr defaultSize="0" autoLine="0" r:id="rId35">
            <anchor>
              <from>
                <xdr:col>6</xdr:col>
                <xdr:colOff>685800</xdr:colOff>
                <xdr:row>3</xdr:row>
                <xdr:rowOff>99060</xdr:rowOff>
              </from>
              <to>
                <xdr:col>6</xdr:col>
                <xdr:colOff>1165860</xdr:colOff>
                <xdr:row>4</xdr:row>
                <xdr:rowOff>15240</xdr:rowOff>
              </to>
            </anchor>
          </controlPr>
        </control>
      </mc:Choice>
      <mc:Fallback>
        <control shapeId="9235" r:id="rId34" name="Label2"/>
      </mc:Fallback>
    </mc:AlternateContent>
  </controls>
  <tableParts count="1">
    <tablePart r:id="rId3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273536-85E3-42D8-9417-A035C2290D94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H3 K2 K5:K1048576</xm:sqref>
        </x14:conditionalFormatting>
        <x14:conditionalFormatting xmlns:xm="http://schemas.microsoft.com/office/excel/2006/main">
          <x14:cfRule type="dataBar" id="{611A61EF-BB5A-4E12-A587-8FE58EC3676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E4:E1048576 H3:H4 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8377B-BFCD-407A-A426-9266E1DEF17B}">
          <x14:formula1>
            <xm:f>Fontes!$C$2:$C$4</xm:f>
          </x14:formula1>
          <xm:sqref>I11:I19 K11:K19 J5:J19 O4 Q5:Q6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C0DE-E7D9-420B-B1D8-ECD5040E6DD7}">
  <sheetPr codeName="Planilha4"/>
  <dimension ref="A1:L49"/>
  <sheetViews>
    <sheetView showRowColHeaders="0" tabSelected="1" zoomScale="121" zoomScaleNormal="121" workbookViewId="0">
      <selection activeCell="A2" sqref="A2"/>
    </sheetView>
  </sheetViews>
  <sheetFormatPr defaultRowHeight="14.4" x14ac:dyDescent="0.3"/>
  <cols>
    <col min="1" max="1" width="69.77734375" style="21" customWidth="1"/>
    <col min="2" max="2" width="14.77734375" style="21" customWidth="1"/>
    <col min="3" max="4" width="12.77734375" style="21" customWidth="1"/>
    <col min="5" max="6" width="22.77734375" style="21" customWidth="1"/>
    <col min="7" max="7" width="28.77734375" style="21" customWidth="1"/>
    <col min="8" max="8" width="30.77734375" style="20" customWidth="1"/>
    <col min="9" max="9" width="18.33203125" style="20" customWidth="1"/>
    <col min="10" max="10" width="18.77734375" customWidth="1"/>
    <col min="11" max="11" width="16.88671875" bestFit="1" customWidth="1"/>
    <col min="12" max="12" width="36.88671875" bestFit="1" customWidth="1"/>
    <col min="13" max="13" width="13.77734375" bestFit="1" customWidth="1"/>
    <col min="14" max="14" width="14.6640625" bestFit="1" customWidth="1"/>
    <col min="15" max="15" width="20.44140625" bestFit="1" customWidth="1"/>
    <col min="16" max="16" width="18.33203125" customWidth="1"/>
    <col min="17" max="17" width="23.21875" customWidth="1"/>
    <col min="18" max="18" width="0.77734375" customWidth="1"/>
  </cols>
  <sheetData>
    <row r="1" spans="1:12" x14ac:dyDescent="0.3">
      <c r="A1" s="28" t="s">
        <v>12</v>
      </c>
      <c r="B1" s="28" t="s">
        <v>13</v>
      </c>
      <c r="C1" s="29" t="s">
        <v>20</v>
      </c>
      <c r="D1" s="29" t="s">
        <v>19</v>
      </c>
      <c r="E1" s="28" t="s">
        <v>14</v>
      </c>
      <c r="F1" s="28" t="s">
        <v>15</v>
      </c>
      <c r="G1" s="15"/>
    </row>
    <row r="2" spans="1:12" x14ac:dyDescent="0.3">
      <c r="A2" s="32"/>
      <c r="B2" s="27"/>
      <c r="C2" s="8"/>
      <c r="D2" s="30"/>
      <c r="E2" s="27"/>
      <c r="F2" s="31"/>
      <c r="G2" s="17"/>
      <c r="H2" s="26">
        <v>1</v>
      </c>
    </row>
    <row r="3" spans="1:12" x14ac:dyDescent="0.3">
      <c r="G3" s="18"/>
      <c r="H3" s="26">
        <v>0</v>
      </c>
      <c r="I3" s="33"/>
      <c r="L3" s="14"/>
    </row>
    <row r="4" spans="1:12" x14ac:dyDescent="0.3">
      <c r="G4" s="15"/>
      <c r="I4" s="19"/>
      <c r="L4" s="14"/>
    </row>
    <row r="5" spans="1:12" x14ac:dyDescent="0.3">
      <c r="D5" s="21" t="s">
        <v>32</v>
      </c>
      <c r="G5" s="15"/>
      <c r="I5" s="19"/>
      <c r="J5" s="19"/>
      <c r="K5" s="8"/>
      <c r="L5" s="14"/>
    </row>
    <row r="6" spans="1:12" x14ac:dyDescent="0.3">
      <c r="G6" s="15"/>
      <c r="I6" s="19"/>
      <c r="J6" s="19"/>
      <c r="K6" s="8"/>
      <c r="L6" s="14"/>
    </row>
    <row r="7" spans="1:12" x14ac:dyDescent="0.3">
      <c r="G7" s="15"/>
      <c r="J7" s="19"/>
      <c r="K7" s="14"/>
      <c r="L7" s="8"/>
    </row>
    <row r="8" spans="1:12" x14ac:dyDescent="0.3">
      <c r="G8" s="15"/>
      <c r="J8" s="19"/>
      <c r="K8" s="14"/>
      <c r="L8" s="8"/>
    </row>
    <row r="9" spans="1:12" x14ac:dyDescent="0.3">
      <c r="G9" s="15"/>
      <c r="J9" s="19"/>
      <c r="K9" s="14"/>
      <c r="L9" s="8"/>
    </row>
    <row r="10" spans="1:12" x14ac:dyDescent="0.3">
      <c r="G10" s="15"/>
      <c r="J10" s="19"/>
      <c r="K10" s="14"/>
      <c r="L10" s="8"/>
    </row>
    <row r="11" spans="1:12" x14ac:dyDescent="0.3">
      <c r="G11" s="15"/>
      <c r="J11" s="19"/>
      <c r="K11" s="14"/>
      <c r="L11" s="8"/>
    </row>
    <row r="12" spans="1:12" x14ac:dyDescent="0.3">
      <c r="G12" s="15"/>
      <c r="J12" s="19"/>
      <c r="K12" s="14"/>
      <c r="L12" s="8"/>
    </row>
    <row r="13" spans="1:12" x14ac:dyDescent="0.3">
      <c r="G13" s="15"/>
      <c r="J13" s="19"/>
      <c r="K13" s="14"/>
      <c r="L13" s="8"/>
    </row>
    <row r="14" spans="1:12" x14ac:dyDescent="0.3">
      <c r="G14" s="15"/>
      <c r="J14" s="19"/>
      <c r="K14" s="14"/>
      <c r="L14" s="8"/>
    </row>
    <row r="15" spans="1:12" x14ac:dyDescent="0.3">
      <c r="G15" s="15"/>
      <c r="J15" s="19"/>
      <c r="K15" s="14"/>
      <c r="L15" s="8"/>
    </row>
    <row r="16" spans="1:12" x14ac:dyDescent="0.3">
      <c r="G16" s="15"/>
      <c r="J16" s="19"/>
      <c r="K16" s="14"/>
      <c r="L16" s="8"/>
    </row>
    <row r="17" spans="7:12" x14ac:dyDescent="0.3">
      <c r="G17" s="15"/>
      <c r="J17" s="19"/>
      <c r="K17" s="14"/>
      <c r="L17" s="8"/>
    </row>
    <row r="18" spans="7:12" x14ac:dyDescent="0.3">
      <c r="G18" s="15"/>
      <c r="J18" s="20"/>
    </row>
    <row r="19" spans="7:12" x14ac:dyDescent="0.3">
      <c r="G19" s="15"/>
      <c r="J19" s="20"/>
    </row>
    <row r="20" spans="7:12" x14ac:dyDescent="0.3">
      <c r="G20" s="15"/>
      <c r="J20" s="20"/>
    </row>
    <row r="21" spans="7:12" x14ac:dyDescent="0.3">
      <c r="G21" s="15"/>
      <c r="J21" s="20"/>
    </row>
    <row r="22" spans="7:12" x14ac:dyDescent="0.3">
      <c r="G22" s="15"/>
      <c r="J22" s="20"/>
    </row>
    <row r="23" spans="7:12" x14ac:dyDescent="0.3">
      <c r="G23" s="15"/>
      <c r="J23" s="20"/>
    </row>
    <row r="24" spans="7:12" x14ac:dyDescent="0.3">
      <c r="G24" s="15"/>
      <c r="J24" s="20"/>
    </row>
    <row r="25" spans="7:12" x14ac:dyDescent="0.3">
      <c r="G25" s="15"/>
      <c r="J25" s="20"/>
    </row>
    <row r="26" spans="7:12" x14ac:dyDescent="0.3">
      <c r="G26" s="15"/>
      <c r="J26" s="20"/>
    </row>
    <row r="27" spans="7:12" x14ac:dyDescent="0.3">
      <c r="G27" s="15"/>
      <c r="J27" s="20"/>
    </row>
    <row r="28" spans="7:12" x14ac:dyDescent="0.3">
      <c r="G28" s="15"/>
      <c r="J28" s="20"/>
    </row>
    <row r="29" spans="7:12" x14ac:dyDescent="0.3">
      <c r="G29" s="15"/>
      <c r="J29" s="20"/>
    </row>
    <row r="30" spans="7:12" x14ac:dyDescent="0.3">
      <c r="G30" s="15"/>
      <c r="J30" s="20"/>
    </row>
    <row r="31" spans="7:12" x14ac:dyDescent="0.3">
      <c r="G31" s="15"/>
      <c r="J31" s="20"/>
    </row>
    <row r="32" spans="7:12" x14ac:dyDescent="0.3">
      <c r="G32" s="15"/>
      <c r="J32" s="20"/>
    </row>
    <row r="33" spans="7:10" x14ac:dyDescent="0.3">
      <c r="G33" s="15"/>
      <c r="J33" s="20"/>
    </row>
    <row r="34" spans="7:10" x14ac:dyDescent="0.3">
      <c r="G34" s="15"/>
      <c r="J34" s="20"/>
    </row>
    <row r="35" spans="7:10" x14ac:dyDescent="0.3">
      <c r="G35" s="15"/>
      <c r="J35" s="20"/>
    </row>
    <row r="36" spans="7:10" x14ac:dyDescent="0.3">
      <c r="G36" s="15"/>
      <c r="J36" s="20"/>
    </row>
    <row r="37" spans="7:10" x14ac:dyDescent="0.3">
      <c r="J37" s="20"/>
    </row>
    <row r="38" spans="7:10" x14ac:dyDescent="0.3">
      <c r="J38" s="20"/>
    </row>
    <row r="39" spans="7:10" x14ac:dyDescent="0.3">
      <c r="J39" s="20"/>
    </row>
    <row r="40" spans="7:10" x14ac:dyDescent="0.3">
      <c r="J40" s="20"/>
    </row>
    <row r="41" spans="7:10" x14ac:dyDescent="0.3">
      <c r="J41" s="20"/>
    </row>
    <row r="42" spans="7:10" x14ac:dyDescent="0.3">
      <c r="J42" s="20"/>
    </row>
    <row r="43" spans="7:10" x14ac:dyDescent="0.3">
      <c r="J43" s="20"/>
    </row>
    <row r="44" spans="7:10" x14ac:dyDescent="0.3">
      <c r="J44" s="20"/>
    </row>
    <row r="45" spans="7:10" x14ac:dyDescent="0.3">
      <c r="J45" s="20"/>
    </row>
    <row r="46" spans="7:10" x14ac:dyDescent="0.3">
      <c r="J46" s="20"/>
    </row>
    <row r="47" spans="7:10" x14ac:dyDescent="0.3">
      <c r="J47" s="20"/>
    </row>
    <row r="48" spans="7:10" x14ac:dyDescent="0.3">
      <c r="J48" s="20"/>
    </row>
    <row r="49" spans="10:10" x14ac:dyDescent="0.3">
      <c r="J49" s="20"/>
    </row>
  </sheetData>
  <phoneticPr fontId="5" type="noConversion"/>
  <conditionalFormatting sqref="H2:H3 F2:F1048576">
    <cfRule type="dataBar" priority="43">
      <dataBar>
        <cfvo type="percent" val="0"/>
        <cfvo type="percent" val="100"/>
        <color rgb="FF002060"/>
      </dataBar>
      <extLst>
        <ext xmlns:x14="http://schemas.microsoft.com/office/spreadsheetml/2009/9/main" uri="{B025F937-C7B1-47D3-B67F-A62EFF666E3E}">
          <x14:id>{02DAFAD9-8927-472B-AC33-BF74A7EF636F}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74" r:id="rId4" name="trabalhoplanilha">
          <controlPr defaultSize="0" autoLine="0" r:id="rId5">
            <anchor>
              <from>
                <xdr:col>6</xdr:col>
                <xdr:colOff>38100</xdr:colOff>
                <xdr:row>5</xdr:row>
                <xdr:rowOff>160020</xdr:rowOff>
              </from>
              <to>
                <xdr:col>6</xdr:col>
                <xdr:colOff>967740</xdr:colOff>
                <xdr:row>6</xdr:row>
                <xdr:rowOff>121920</xdr:rowOff>
              </to>
            </anchor>
          </controlPr>
        </control>
      </mc:Choice>
      <mc:Fallback>
        <control shapeId="1174" r:id="rId4" name="trabalhoplanilha"/>
      </mc:Fallback>
    </mc:AlternateContent>
    <mc:AlternateContent xmlns:mc="http://schemas.openxmlformats.org/markup-compatibility/2006">
      <mc:Choice Requires="x14">
        <control shapeId="1154" r:id="rId6" name="FiltroMaterias">
          <controlPr defaultSize="0" autoFill="0" autoLine="0" listFillRange="Fontes!K2:K12" r:id="rId7">
            <anchor>
              <from>
                <xdr:col>6</xdr:col>
                <xdr:colOff>91440</xdr:colOff>
                <xdr:row>2</xdr:row>
                <xdr:rowOff>83820</xdr:rowOff>
              </from>
              <to>
                <xdr:col>6</xdr:col>
                <xdr:colOff>1165860</xdr:colOff>
                <xdr:row>3</xdr:row>
                <xdr:rowOff>45720</xdr:rowOff>
              </to>
            </anchor>
          </controlPr>
        </control>
      </mc:Choice>
      <mc:Fallback>
        <control shapeId="1154" r:id="rId6" name="FiltroMaterias"/>
      </mc:Fallback>
    </mc:AlternateContent>
    <mc:AlternateContent xmlns:mc="http://schemas.openxmlformats.org/markup-compatibility/2006">
      <mc:Choice Requires="x14">
        <control shapeId="1105" r:id="rId8" name="Label9">
          <controlPr defaultSize="0" autoLine="0" autoPict="0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  <mc:Fallback>
        <control shapeId="1105" r:id="rId8" name="Label9"/>
      </mc:Fallback>
    </mc:AlternateContent>
    <mc:AlternateContent xmlns:mc="http://schemas.openxmlformats.org/markup-compatibility/2006">
      <mc:Choice Requires="x14">
        <control shapeId="1103" r:id="rId10" name="Label8">
          <controlPr defaultSize="0" autoLine="0" r:id="rId11">
            <anchor moveWithCells="1">
              <from>
                <xdr:col>14</xdr:col>
                <xdr:colOff>464820</xdr:colOff>
                <xdr:row>19</xdr:row>
                <xdr:rowOff>0</xdr:rowOff>
              </from>
              <to>
                <xdr:col>15</xdr:col>
                <xdr:colOff>312420</xdr:colOff>
                <xdr:row>19</xdr:row>
                <xdr:rowOff>160020</xdr:rowOff>
              </to>
            </anchor>
          </controlPr>
        </control>
      </mc:Choice>
      <mc:Fallback>
        <control shapeId="1103" r:id="rId10" name="Label8"/>
      </mc:Fallback>
    </mc:AlternateContent>
    <mc:AlternateContent xmlns:mc="http://schemas.openxmlformats.org/markup-compatibility/2006">
      <mc:Choice Requires="x14">
        <control shapeId="1100" r:id="rId12" name="Label6">
          <controlPr defaultSize="0" autoLine="0" r:id="rId13">
            <anchor moveWithCells="1">
              <from>
                <xdr:col>19</xdr:col>
                <xdr:colOff>563880</xdr:colOff>
                <xdr:row>20</xdr:row>
                <xdr:rowOff>0</xdr:rowOff>
              </from>
              <to>
                <xdr:col>22</xdr:col>
                <xdr:colOff>563880</xdr:colOff>
                <xdr:row>32</xdr:row>
                <xdr:rowOff>76200</xdr:rowOff>
              </to>
            </anchor>
          </controlPr>
        </control>
      </mc:Choice>
      <mc:Fallback>
        <control shapeId="1100" r:id="rId12" name="Label6"/>
      </mc:Fallback>
    </mc:AlternateContent>
    <mc:AlternateContent xmlns:mc="http://schemas.openxmlformats.org/markup-compatibility/2006">
      <mc:Choice Requires="x14">
        <control shapeId="1097" r:id="rId14" name="dataCompleta">
          <controlPr defaultSize="0" autoLine="0" autoPict="0" r:id="rId15">
            <anchor>
              <from>
                <xdr:col>6</xdr:col>
                <xdr:colOff>68580</xdr:colOff>
                <xdr:row>12</xdr:row>
                <xdr:rowOff>160020</xdr:rowOff>
              </from>
              <to>
                <xdr:col>6</xdr:col>
                <xdr:colOff>1188720</xdr:colOff>
                <xdr:row>14</xdr:row>
                <xdr:rowOff>152400</xdr:rowOff>
              </to>
            </anchor>
          </controlPr>
        </control>
      </mc:Choice>
      <mc:Fallback>
        <control shapeId="1097" r:id="rId14" name="dataCompleta"/>
      </mc:Fallback>
    </mc:AlternateContent>
    <mc:AlternateContent xmlns:mc="http://schemas.openxmlformats.org/markup-compatibility/2006">
      <mc:Choice Requires="x14">
        <control shapeId="1110" r:id="rId16" name="Label10">
          <controlPr defaultSize="0" autoLine="0" r:id="rId17">
            <anchor moveWithCells="1">
              <from>
                <xdr:col>14</xdr:col>
                <xdr:colOff>335280</xdr:colOff>
                <xdr:row>19</xdr:row>
                <xdr:rowOff>0</xdr:rowOff>
              </from>
              <to>
                <xdr:col>15</xdr:col>
                <xdr:colOff>182880</xdr:colOff>
                <xdr:row>19</xdr:row>
                <xdr:rowOff>160020</xdr:rowOff>
              </to>
            </anchor>
          </controlPr>
        </control>
      </mc:Choice>
      <mc:Fallback>
        <control shapeId="1110" r:id="rId16" name="Label10"/>
      </mc:Fallback>
    </mc:AlternateContent>
    <mc:AlternateContent xmlns:mc="http://schemas.openxmlformats.org/markup-compatibility/2006">
      <mc:Choice Requires="x14">
        <control shapeId="1157" r:id="rId18" name="FiltroDatas">
          <controlPr defaultSize="0" autoFill="0" autoLine="0" listFillRange="Fontes!G2:G3" r:id="rId19">
            <anchor>
              <from>
                <xdr:col>6</xdr:col>
                <xdr:colOff>91440</xdr:colOff>
                <xdr:row>1</xdr:row>
                <xdr:rowOff>68580</xdr:rowOff>
              </from>
              <to>
                <xdr:col>6</xdr:col>
                <xdr:colOff>1165860</xdr:colOff>
                <xdr:row>2</xdr:row>
                <xdr:rowOff>38100</xdr:rowOff>
              </to>
            </anchor>
          </controlPr>
        </control>
      </mc:Choice>
      <mc:Fallback>
        <control shapeId="1157" r:id="rId18" name="FiltroDatas"/>
      </mc:Fallback>
    </mc:AlternateContent>
    <mc:AlternateContent xmlns:mc="http://schemas.openxmlformats.org/markup-compatibility/2006">
      <mc:Choice Requires="x14">
        <control shapeId="1159" r:id="rId20" name="Label5">
          <controlPr defaultSize="0" autoLine="0" r:id="rId21">
            <anchor>
              <from>
                <xdr:col>6</xdr:col>
                <xdr:colOff>91440</xdr:colOff>
                <xdr:row>0</xdr:row>
                <xdr:rowOff>129540</xdr:rowOff>
              </from>
              <to>
                <xdr:col>6</xdr:col>
                <xdr:colOff>1074420</xdr:colOff>
                <xdr:row>1</xdr:row>
                <xdr:rowOff>68580</xdr:rowOff>
              </to>
            </anchor>
          </controlPr>
        </control>
      </mc:Choice>
      <mc:Fallback>
        <control shapeId="1159" r:id="rId20" name="Label5"/>
      </mc:Fallback>
    </mc:AlternateContent>
    <mc:AlternateContent xmlns:mc="http://schemas.openxmlformats.org/markup-compatibility/2006">
      <mc:Choice Requires="x14">
        <control shapeId="1162" r:id="rId22" name="mostrarTudo">
          <controlPr defaultSize="0" print="0" autoLine="0" r:id="rId23">
            <anchor>
              <from>
                <xdr:col>6</xdr:col>
                <xdr:colOff>685800</xdr:colOff>
                <xdr:row>3</xdr:row>
                <xdr:rowOff>99060</xdr:rowOff>
              </from>
              <to>
                <xdr:col>6</xdr:col>
                <xdr:colOff>1165860</xdr:colOff>
                <xdr:row>4</xdr:row>
                <xdr:rowOff>15240</xdr:rowOff>
              </to>
            </anchor>
          </controlPr>
        </control>
      </mc:Choice>
      <mc:Fallback>
        <control shapeId="1162" r:id="rId22" name="mostrarTudo"/>
      </mc:Fallback>
    </mc:AlternateContent>
    <mc:AlternateContent xmlns:mc="http://schemas.openxmlformats.org/markup-compatibility/2006">
      <mc:Choice Requires="x14">
        <control shapeId="1170" r:id="rId24" name="analiseLabel">
          <controlPr defaultSize="0" autoLine="0" r:id="rId25">
            <anchor>
              <from>
                <xdr:col>6</xdr:col>
                <xdr:colOff>99060</xdr:colOff>
                <xdr:row>15</xdr:row>
                <xdr:rowOff>83820</xdr:rowOff>
              </from>
              <to>
                <xdr:col>6</xdr:col>
                <xdr:colOff>1150620</xdr:colOff>
                <xdr:row>16</xdr:row>
                <xdr:rowOff>129540</xdr:rowOff>
              </to>
            </anchor>
          </controlPr>
        </control>
      </mc:Choice>
      <mc:Fallback>
        <control shapeId="1170" r:id="rId24" name="analiseLabel"/>
      </mc:Fallback>
    </mc:AlternateContent>
    <mc:AlternateContent xmlns:mc="http://schemas.openxmlformats.org/markup-compatibility/2006">
      <mc:Choice Requires="x14">
        <control shapeId="1172" r:id="rId26" name="materiaplanilha">
          <controlPr defaultSize="0" autoLine="0" r:id="rId27">
            <anchor>
              <from>
                <xdr:col>6</xdr:col>
                <xdr:colOff>38100</xdr:colOff>
                <xdr:row>4</xdr:row>
                <xdr:rowOff>15240</xdr:rowOff>
              </from>
              <to>
                <xdr:col>6</xdr:col>
                <xdr:colOff>967740</xdr:colOff>
                <xdr:row>4</xdr:row>
                <xdr:rowOff>160020</xdr:rowOff>
              </to>
            </anchor>
          </controlPr>
        </control>
      </mc:Choice>
      <mc:Fallback>
        <control shapeId="1172" r:id="rId26" name="materiaplanilha"/>
      </mc:Fallback>
    </mc:AlternateContent>
    <mc:AlternateContent xmlns:mc="http://schemas.openxmlformats.org/markup-compatibility/2006">
      <mc:Choice Requires="x14">
        <control shapeId="1173" r:id="rId28" name="entregaplanilha">
          <controlPr defaultSize="0" autoLine="0" r:id="rId29">
            <anchor>
              <from>
                <xdr:col>6</xdr:col>
                <xdr:colOff>38100</xdr:colOff>
                <xdr:row>11</xdr:row>
                <xdr:rowOff>175260</xdr:rowOff>
              </from>
              <to>
                <xdr:col>6</xdr:col>
                <xdr:colOff>967740</xdr:colOff>
                <xdr:row>12</xdr:row>
                <xdr:rowOff>137160</xdr:rowOff>
              </to>
            </anchor>
          </controlPr>
        </control>
      </mc:Choice>
      <mc:Fallback>
        <control shapeId="1173" r:id="rId28" name="entregaplanilha"/>
      </mc:Fallback>
    </mc:AlternateContent>
    <mc:AlternateContent xmlns:mc="http://schemas.openxmlformats.org/markup-compatibility/2006">
      <mc:Choice Requires="x14">
        <control shapeId="1178" r:id="rId30" name="trabalhoLabel">
          <controlPr defaultSize="0" autoLine="0" r:id="rId31">
            <anchor>
              <from>
                <xdr:col>6</xdr:col>
                <xdr:colOff>68580</xdr:colOff>
                <xdr:row>7</xdr:row>
                <xdr:rowOff>30480</xdr:rowOff>
              </from>
              <to>
                <xdr:col>6</xdr:col>
                <xdr:colOff>1188720</xdr:colOff>
                <xdr:row>11</xdr:row>
                <xdr:rowOff>68580</xdr:rowOff>
              </to>
            </anchor>
          </controlPr>
        </control>
      </mc:Choice>
      <mc:Fallback>
        <control shapeId="1178" r:id="rId30" name="trabalhoLabel"/>
      </mc:Fallback>
    </mc:AlternateContent>
    <mc:AlternateContent xmlns:mc="http://schemas.openxmlformats.org/markup-compatibility/2006">
      <mc:Choice Requires="x14">
        <control shapeId="1179" r:id="rId32" name="materiaLabel">
          <controlPr defaultSize="0" autoLine="0" r:id="rId33">
            <anchor>
              <from>
                <xdr:col>6</xdr:col>
                <xdr:colOff>53340</xdr:colOff>
                <xdr:row>4</xdr:row>
                <xdr:rowOff>175260</xdr:rowOff>
              </from>
              <to>
                <xdr:col>6</xdr:col>
                <xdr:colOff>1173480</xdr:colOff>
                <xdr:row>5</xdr:row>
                <xdr:rowOff>129540</xdr:rowOff>
              </to>
            </anchor>
          </controlPr>
        </control>
      </mc:Choice>
      <mc:Fallback>
        <control shapeId="1179" r:id="rId32" name="materiaLabel"/>
      </mc:Fallback>
    </mc:AlternateContent>
  </controls>
  <tableParts count="1">
    <tablePart r:id="rId3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DAFAD9-8927-472B-AC33-BF74A7EF636F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H2:H3 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3A1C1-DA2D-443B-93D8-A9ABC3474274}">
          <x14:formula1>
            <xm:f>Fontes!$C$2:$C$4</xm:f>
          </x14:formula1>
          <xm:sqref>L4:L6 E3:E18 F10:F18 D10:D18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D0362-A08F-49B8-AE33-B4E486A9BB4F}">
  <sheetPr codeName="Planilha6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73F2-96D0-46F8-954D-755A429BC99B}">
  <sheetPr codeName="Planilha1"/>
  <dimension ref="A1:U563"/>
  <sheetViews>
    <sheetView zoomScale="85" zoomScaleNormal="85" workbookViewId="0">
      <selection activeCell="C9" sqref="C9"/>
    </sheetView>
  </sheetViews>
  <sheetFormatPr defaultRowHeight="14.4" x14ac:dyDescent="0.3"/>
  <cols>
    <col min="1" max="1" width="14.33203125" bestFit="1" customWidth="1"/>
    <col min="2" max="2" width="71.44140625" customWidth="1"/>
    <col min="3" max="3" width="15.88671875" customWidth="1"/>
    <col min="4" max="4" width="20.109375" bestFit="1" customWidth="1"/>
    <col min="5" max="6" width="20.33203125" bestFit="1" customWidth="1"/>
    <col min="7" max="7" width="20.6640625" bestFit="1" customWidth="1"/>
    <col min="8" max="8" width="12.88671875" bestFit="1" customWidth="1"/>
    <col min="9" max="9" width="13.6640625" bestFit="1" customWidth="1"/>
    <col min="10" max="10" width="11.109375" bestFit="1" customWidth="1"/>
    <col min="11" max="11" width="11.33203125" bestFit="1" customWidth="1"/>
    <col min="12" max="12" width="11.6640625" bestFit="1" customWidth="1"/>
    <col min="13" max="13" width="10.5546875" bestFit="1" customWidth="1"/>
    <col min="14" max="14" width="18.109375" customWidth="1"/>
    <col min="15" max="15" width="20.109375" customWidth="1"/>
    <col min="16" max="16" width="22.109375" bestFit="1" customWidth="1"/>
  </cols>
  <sheetData>
    <row r="1" spans="1:21" x14ac:dyDescent="0.3">
      <c r="A1" s="7" t="s">
        <v>11</v>
      </c>
      <c r="B1" s="7" t="s">
        <v>12</v>
      </c>
      <c r="C1" s="7" t="s">
        <v>13</v>
      </c>
      <c r="D1" s="7" t="s">
        <v>29</v>
      </c>
      <c r="E1" s="7" t="s">
        <v>27</v>
      </c>
      <c r="F1" s="7" t="s">
        <v>30</v>
      </c>
      <c r="G1" s="7" t="s">
        <v>28</v>
      </c>
      <c r="H1" s="7" t="s">
        <v>14</v>
      </c>
      <c r="I1" s="7" t="s">
        <v>15</v>
      </c>
      <c r="J1" s="7" t="s">
        <v>20</v>
      </c>
      <c r="K1" s="7" t="s">
        <v>19</v>
      </c>
      <c r="L1" s="7"/>
    </row>
    <row r="2" spans="1:21" x14ac:dyDescent="0.3">
      <c r="A2" s="34">
        <v>1</v>
      </c>
      <c r="B2" s="25" t="s">
        <v>43</v>
      </c>
      <c r="C2" s="25" t="s">
        <v>6</v>
      </c>
      <c r="D2" s="8">
        <v>44237</v>
      </c>
      <c r="E2" s="24">
        <v>0.4513888888888889</v>
      </c>
      <c r="F2" s="8">
        <v>44235</v>
      </c>
      <c r="G2" s="24">
        <v>0</v>
      </c>
      <c r="H2" s="25" t="s">
        <v>17</v>
      </c>
      <c r="I2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2" s="8">
        <v>44237</v>
      </c>
      <c r="K2" s="24">
        <v>0.64039351851851845</v>
      </c>
      <c r="L2" s="12">
        <v>1</v>
      </c>
    </row>
    <row r="3" spans="1:21" x14ac:dyDescent="0.3">
      <c r="A3" s="34">
        <v>2</v>
      </c>
      <c r="B3" s="25" t="s">
        <v>44</v>
      </c>
      <c r="C3" s="25" t="s">
        <v>6</v>
      </c>
      <c r="D3" s="8">
        <v>44242</v>
      </c>
      <c r="E3" s="24">
        <v>0.41666666666666669</v>
      </c>
      <c r="F3" s="8">
        <v>44237</v>
      </c>
      <c r="G3" s="24">
        <v>0</v>
      </c>
      <c r="H3" s="25" t="s">
        <v>17</v>
      </c>
      <c r="I3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3" s="8">
        <v>44237</v>
      </c>
      <c r="K3" s="24">
        <v>0.64223379629629629</v>
      </c>
      <c r="L3" s="12">
        <v>0</v>
      </c>
      <c r="P3" s="22"/>
      <c r="Q3" s="22"/>
      <c r="S3" s="9"/>
      <c r="T3" s="22"/>
      <c r="U3" s="6"/>
    </row>
    <row r="4" spans="1:21" x14ac:dyDescent="0.3">
      <c r="A4" s="34">
        <v>3</v>
      </c>
      <c r="B4" s="25" t="s">
        <v>45</v>
      </c>
      <c r="C4" s="25" t="s">
        <v>3</v>
      </c>
      <c r="D4" s="8">
        <v>44243</v>
      </c>
      <c r="E4" s="24">
        <v>0.41666666666666669</v>
      </c>
      <c r="F4" s="8">
        <v>44237</v>
      </c>
      <c r="G4" s="24">
        <v>0</v>
      </c>
      <c r="H4" s="25" t="s">
        <v>17</v>
      </c>
      <c r="I4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4" s="8">
        <v>44238</v>
      </c>
      <c r="K4" s="24">
        <v>0.32261574074074073</v>
      </c>
      <c r="L4" s="7"/>
      <c r="U4" s="6"/>
    </row>
    <row r="5" spans="1:21" x14ac:dyDescent="0.3">
      <c r="A5" s="34">
        <v>4</v>
      </c>
      <c r="B5" s="25" t="s">
        <v>46</v>
      </c>
      <c r="C5" s="25" t="s">
        <v>2</v>
      </c>
      <c r="D5" s="8">
        <v>44239</v>
      </c>
      <c r="E5" s="24">
        <v>0.2986111111111111</v>
      </c>
      <c r="F5" s="8">
        <v>44238</v>
      </c>
      <c r="G5" s="24">
        <v>0</v>
      </c>
      <c r="H5" s="25" t="s">
        <v>17</v>
      </c>
      <c r="I5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5" s="8">
        <v>44238</v>
      </c>
      <c r="K5" s="24">
        <v>0.46666666666666662</v>
      </c>
      <c r="U5" s="6"/>
    </row>
    <row r="6" spans="1:21" x14ac:dyDescent="0.3">
      <c r="A6" s="34">
        <v>5</v>
      </c>
      <c r="B6" s="25" t="s">
        <v>47</v>
      </c>
      <c r="C6" s="25" t="s">
        <v>3</v>
      </c>
      <c r="D6" s="8">
        <v>44243</v>
      </c>
      <c r="E6" s="24">
        <v>0.41666666666666669</v>
      </c>
      <c r="F6" s="8">
        <v>44238</v>
      </c>
      <c r="G6" s="24">
        <v>0</v>
      </c>
      <c r="H6" s="25" t="s">
        <v>17</v>
      </c>
      <c r="I6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6" s="8">
        <v>44238</v>
      </c>
      <c r="K6" s="24">
        <v>0.5178935185185185</v>
      </c>
      <c r="U6" s="6"/>
    </row>
    <row r="7" spans="1:21" x14ac:dyDescent="0.3">
      <c r="A7" s="34">
        <v>6</v>
      </c>
      <c r="B7" s="25" t="s">
        <v>48</v>
      </c>
      <c r="C7" s="25" t="s">
        <v>9</v>
      </c>
      <c r="D7" s="8">
        <v>44242</v>
      </c>
      <c r="E7" s="24">
        <v>0.99930555555555556</v>
      </c>
      <c r="F7" s="8">
        <v>44242</v>
      </c>
      <c r="G7" s="24">
        <v>0</v>
      </c>
      <c r="H7" s="25" t="s">
        <v>17</v>
      </c>
      <c r="I7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7" s="8">
        <v>44242</v>
      </c>
      <c r="K7" s="24">
        <v>0.80729166666666663</v>
      </c>
      <c r="U7" s="6"/>
    </row>
    <row r="8" spans="1:21" x14ac:dyDescent="0.3">
      <c r="A8" s="34">
        <v>7</v>
      </c>
      <c r="B8" s="25" t="s">
        <v>49</v>
      </c>
      <c r="C8" s="25" t="s">
        <v>9</v>
      </c>
      <c r="D8" s="8">
        <v>44515</v>
      </c>
      <c r="E8" s="24">
        <v>0.99930555555555556</v>
      </c>
      <c r="F8" s="8">
        <v>44243</v>
      </c>
      <c r="G8" s="24">
        <v>0</v>
      </c>
      <c r="H8" s="25" t="s">
        <v>18</v>
      </c>
      <c r="I8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8" s="8">
        <v>44243</v>
      </c>
      <c r="K8" s="24">
        <v>0.48167824074074073</v>
      </c>
      <c r="U8" s="6"/>
    </row>
    <row r="9" spans="1:21" x14ac:dyDescent="0.3">
      <c r="A9" s="34">
        <v>8</v>
      </c>
      <c r="B9" s="25" t="s">
        <v>50</v>
      </c>
      <c r="C9" s="25" t="s">
        <v>9</v>
      </c>
      <c r="D9" s="8">
        <v>44361</v>
      </c>
      <c r="E9" s="24">
        <v>0.99930555555555556</v>
      </c>
      <c r="F9" s="8">
        <v>44242</v>
      </c>
      <c r="G9" s="24">
        <v>0</v>
      </c>
      <c r="H9" s="25" t="s">
        <v>18</v>
      </c>
      <c r="I9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9" s="8">
        <v>44243</v>
      </c>
      <c r="K9" s="24">
        <v>0.63890046296296299</v>
      </c>
      <c r="U9" s="6"/>
    </row>
    <row r="10" spans="1:21" x14ac:dyDescent="0.3">
      <c r="A10" s="34">
        <v>9</v>
      </c>
      <c r="B10" s="25" t="s">
        <v>51</v>
      </c>
      <c r="C10" s="25" t="s">
        <v>3</v>
      </c>
      <c r="D10" s="8">
        <v>44246</v>
      </c>
      <c r="E10" s="24">
        <v>0.4861111111111111</v>
      </c>
      <c r="F10" s="8">
        <v>44242</v>
      </c>
      <c r="G10" s="24">
        <v>0</v>
      </c>
      <c r="H10" s="25" t="s">
        <v>17</v>
      </c>
      <c r="I10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10" s="8">
        <v>44244</v>
      </c>
      <c r="K10" s="24">
        <v>0.38062499999999999</v>
      </c>
      <c r="U10" s="6"/>
    </row>
    <row r="11" spans="1:21" x14ac:dyDescent="0.3">
      <c r="A11" s="34">
        <v>10</v>
      </c>
      <c r="B11" s="25" t="s">
        <v>52</v>
      </c>
      <c r="C11" s="25" t="s">
        <v>7</v>
      </c>
      <c r="D11" s="8">
        <v>44247</v>
      </c>
      <c r="E11" s="24">
        <v>0.99930555555555556</v>
      </c>
      <c r="F11" s="8">
        <v>44243</v>
      </c>
      <c r="G11" s="24">
        <v>0</v>
      </c>
      <c r="H11" s="25" t="s">
        <v>17</v>
      </c>
      <c r="I11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11" s="8">
        <v>44244</v>
      </c>
      <c r="K11" s="24">
        <v>0.57453703703703707</v>
      </c>
      <c r="O11" s="22"/>
    </row>
    <row r="12" spans="1:21" x14ac:dyDescent="0.3">
      <c r="A12" s="34">
        <v>11</v>
      </c>
      <c r="B12" s="25" t="s">
        <v>55</v>
      </c>
      <c r="C12" s="25" t="s">
        <v>3</v>
      </c>
      <c r="D12" s="8">
        <v>44253</v>
      </c>
      <c r="E12" s="24">
        <v>0.4861111111111111</v>
      </c>
      <c r="F12" s="8">
        <v>44249</v>
      </c>
      <c r="G12" s="24">
        <v>0</v>
      </c>
      <c r="H12" s="25" t="s">
        <v>17</v>
      </c>
      <c r="I12" s="12">
        <f ca="1">IF(NOW() &gt; (Tabela7[[#This Row],[DATA ENTREGA]] + Tabela7[[#This Row],[HORA ENTREGA]]),1,(NOW() - (Tabela7[[#This Row],[DATA PASSADO]] + Tabela7[[#This Row],[HORA PASSADO]])) * 100 / ((Tabela7[[#This Row],[DATA ENTREGA]] + Tabela7[[#This Row],[HORA ENTREGA]])-(Tabela7[[#This Row],[DATA PASSADO]] + Tabela7[[#This Row],[HORA PASSADO]])) / 100)</f>
        <v>1</v>
      </c>
      <c r="J12" s="8">
        <v>44249</v>
      </c>
      <c r="K12" s="24">
        <v>0.66439814814814813</v>
      </c>
      <c r="O12" s="22"/>
    </row>
    <row r="13" spans="1:21" x14ac:dyDescent="0.3">
      <c r="O13" s="22"/>
    </row>
    <row r="14" spans="1:21" x14ac:dyDescent="0.3">
      <c r="O14" s="22"/>
      <c r="Q14" s="9"/>
      <c r="R14" s="22"/>
      <c r="S14" s="6"/>
    </row>
    <row r="15" spans="1:21" x14ac:dyDescent="0.3">
      <c r="O15" s="22"/>
      <c r="Q15" s="9"/>
      <c r="R15" s="22"/>
      <c r="S15" s="6"/>
    </row>
    <row r="21" spans="1:9" x14ac:dyDescent="0.3">
      <c r="H21" s="7"/>
      <c r="I21" s="13"/>
    </row>
    <row r="22" spans="1:9" x14ac:dyDescent="0.3">
      <c r="H22" s="7"/>
      <c r="I22" s="13"/>
    </row>
    <row r="23" spans="1:9" x14ac:dyDescent="0.3">
      <c r="H23" s="7"/>
      <c r="I23" s="13"/>
    </row>
    <row r="24" spans="1:9" x14ac:dyDescent="0.3">
      <c r="H24" s="7"/>
      <c r="I24" s="13"/>
    </row>
    <row r="25" spans="1:9" x14ac:dyDescent="0.3">
      <c r="H25" s="7"/>
      <c r="I25" s="13"/>
    </row>
    <row r="26" spans="1:9" x14ac:dyDescent="0.3">
      <c r="H26" s="7"/>
      <c r="I26" s="13"/>
    </row>
    <row r="27" spans="1:9" x14ac:dyDescent="0.3">
      <c r="A27" s="7"/>
      <c r="H27" s="7"/>
      <c r="I27" s="13"/>
    </row>
    <row r="28" spans="1:9" x14ac:dyDescent="0.3">
      <c r="A28" s="7"/>
      <c r="B28" s="7"/>
      <c r="C28" s="7"/>
      <c r="D28" s="8"/>
      <c r="H28" s="7"/>
      <c r="I28" s="13"/>
    </row>
    <row r="29" spans="1:9" x14ac:dyDescent="0.3">
      <c r="A29" s="7"/>
      <c r="B29" s="7"/>
      <c r="C29" s="7"/>
      <c r="D29" s="8"/>
      <c r="E29" s="8"/>
      <c r="F29" s="7"/>
      <c r="G29" s="7"/>
      <c r="H29" s="7"/>
      <c r="I29" s="13"/>
    </row>
    <row r="30" spans="1:9" x14ac:dyDescent="0.3">
      <c r="A30" s="7"/>
      <c r="B30" s="7"/>
      <c r="C30" s="7"/>
      <c r="D30" s="8"/>
      <c r="E30" s="8"/>
      <c r="F30" s="7"/>
      <c r="G30" s="7"/>
      <c r="H30" s="7"/>
      <c r="I30" s="13"/>
    </row>
    <row r="31" spans="1:9" x14ac:dyDescent="0.3">
      <c r="A31" s="7"/>
      <c r="B31" s="7"/>
      <c r="C31" s="7"/>
      <c r="D31" s="8"/>
      <c r="E31" s="8"/>
      <c r="F31" s="7"/>
      <c r="G31" s="7"/>
      <c r="H31" s="7"/>
      <c r="I31" s="13"/>
    </row>
    <row r="32" spans="1:9" x14ac:dyDescent="0.3">
      <c r="A32" s="7"/>
      <c r="B32" s="7"/>
      <c r="C32" s="7"/>
      <c r="D32" s="8"/>
      <c r="E32" s="8"/>
      <c r="F32" s="7"/>
      <c r="G32" s="7"/>
      <c r="H32" s="7"/>
      <c r="I32" s="13"/>
    </row>
    <row r="33" spans="1:11" x14ac:dyDescent="0.3">
      <c r="A33" s="7"/>
      <c r="B33" s="7"/>
      <c r="C33" s="7"/>
      <c r="D33" s="8"/>
      <c r="E33" s="8"/>
      <c r="F33" s="7"/>
      <c r="G33" s="7"/>
      <c r="H33" s="7"/>
      <c r="I33" s="13"/>
    </row>
    <row r="34" spans="1:11" x14ac:dyDescent="0.3">
      <c r="A34" s="7"/>
      <c r="B34" s="7"/>
      <c r="C34" s="7"/>
      <c r="D34" s="8"/>
      <c r="E34" s="8"/>
      <c r="F34" s="7"/>
      <c r="G34" s="7"/>
      <c r="H34" s="7"/>
      <c r="I34" s="13"/>
    </row>
    <row r="35" spans="1:11" x14ac:dyDescent="0.3">
      <c r="A35" s="7"/>
      <c r="B35" s="7"/>
      <c r="C35" s="7"/>
      <c r="D35" s="8"/>
      <c r="E35" s="8"/>
      <c r="F35" s="7"/>
      <c r="G35" s="7"/>
      <c r="H35" s="7"/>
      <c r="I35" s="13"/>
    </row>
    <row r="36" spans="1:11" x14ac:dyDescent="0.3">
      <c r="A36" s="7"/>
      <c r="B36" s="7"/>
      <c r="C36" s="7"/>
      <c r="D36" s="8"/>
      <c r="E36" s="8"/>
      <c r="F36" s="7"/>
      <c r="G36" s="7"/>
      <c r="H36" s="7"/>
      <c r="I36" s="13"/>
    </row>
    <row r="37" spans="1:11" x14ac:dyDescent="0.3">
      <c r="A37" s="7"/>
      <c r="B37" s="7"/>
      <c r="C37" s="7"/>
      <c r="D37" s="8"/>
      <c r="E37" s="8"/>
      <c r="F37" s="7"/>
      <c r="G37" s="7"/>
      <c r="H37" s="7"/>
      <c r="I37" s="13"/>
      <c r="J37" s="8"/>
      <c r="K37" s="11"/>
    </row>
    <row r="38" spans="1:11" x14ac:dyDescent="0.3">
      <c r="A38" s="7"/>
      <c r="B38" s="7"/>
      <c r="C38" s="7"/>
      <c r="D38" s="8"/>
      <c r="E38" s="8"/>
      <c r="F38" s="7"/>
      <c r="G38" s="7"/>
      <c r="H38" s="7"/>
      <c r="I38" s="13"/>
      <c r="J38" s="8"/>
      <c r="K38" s="11"/>
    </row>
    <row r="39" spans="1:11" x14ac:dyDescent="0.3">
      <c r="A39" s="7"/>
      <c r="B39" s="7"/>
      <c r="C39" s="7"/>
      <c r="D39" s="8"/>
      <c r="E39" s="8"/>
      <c r="F39" s="7"/>
      <c r="G39" s="7"/>
      <c r="H39" s="7"/>
      <c r="I39" s="13"/>
      <c r="J39" s="8"/>
      <c r="K39" s="11"/>
    </row>
    <row r="40" spans="1:11" x14ac:dyDescent="0.3">
      <c r="A40" s="7"/>
      <c r="B40" s="7"/>
      <c r="C40" s="7"/>
      <c r="D40" s="8"/>
      <c r="E40" s="8"/>
      <c r="F40" s="7"/>
      <c r="G40" s="7"/>
      <c r="H40" s="7"/>
      <c r="I40" s="13"/>
      <c r="J40" s="8"/>
      <c r="K40" s="11"/>
    </row>
    <row r="41" spans="1:11" x14ac:dyDescent="0.3">
      <c r="A41" s="7"/>
      <c r="B41" s="7"/>
      <c r="C41" s="7"/>
      <c r="D41" s="8"/>
      <c r="E41" s="8"/>
      <c r="F41" s="7"/>
      <c r="G41" s="7"/>
      <c r="H41" s="7"/>
      <c r="I41" s="13"/>
      <c r="J41" s="8"/>
      <c r="K41" s="11"/>
    </row>
    <row r="42" spans="1:11" x14ac:dyDescent="0.3">
      <c r="A42" s="7"/>
      <c r="B42" s="7"/>
      <c r="C42" s="7"/>
      <c r="D42" s="8"/>
      <c r="E42" s="8"/>
      <c r="F42" s="7"/>
      <c r="G42" s="7"/>
      <c r="H42" s="7"/>
      <c r="I42" s="13"/>
      <c r="J42" s="8"/>
      <c r="K42" s="11"/>
    </row>
    <row r="43" spans="1:11" x14ac:dyDescent="0.3">
      <c r="A43" s="7"/>
      <c r="B43" s="7"/>
      <c r="C43" s="7"/>
      <c r="D43" s="8"/>
      <c r="E43" s="8"/>
      <c r="F43" s="7"/>
      <c r="G43" s="7"/>
      <c r="H43" s="7"/>
      <c r="I43" s="13"/>
      <c r="J43" s="8"/>
      <c r="K43" s="11"/>
    </row>
    <row r="44" spans="1:11" x14ac:dyDescent="0.3">
      <c r="A44" s="7"/>
      <c r="B44" s="7"/>
      <c r="C44" s="7"/>
      <c r="D44" s="8"/>
      <c r="E44" s="8"/>
      <c r="F44" s="7"/>
      <c r="G44" s="7"/>
      <c r="H44" s="7"/>
      <c r="I44" s="13"/>
      <c r="J44" s="8"/>
      <c r="K44" s="11"/>
    </row>
    <row r="45" spans="1:11" x14ac:dyDescent="0.3">
      <c r="A45" s="7"/>
      <c r="B45" s="7"/>
      <c r="C45" s="7"/>
      <c r="D45" s="8"/>
      <c r="E45" s="8"/>
      <c r="F45" s="7"/>
      <c r="G45" s="7"/>
      <c r="H45" s="7"/>
      <c r="I45" s="13"/>
      <c r="J45" s="8"/>
      <c r="K45" s="11"/>
    </row>
    <row r="46" spans="1:11" x14ac:dyDescent="0.3">
      <c r="A46" s="7"/>
      <c r="B46" s="7"/>
      <c r="C46" s="7"/>
      <c r="D46" s="8"/>
      <c r="E46" s="8"/>
      <c r="F46" s="7"/>
      <c r="G46" s="7"/>
      <c r="H46" s="7"/>
      <c r="I46" s="13"/>
      <c r="J46" s="8"/>
      <c r="K46" s="11"/>
    </row>
    <row r="47" spans="1:11" x14ac:dyDescent="0.3">
      <c r="A47" s="7"/>
      <c r="B47" s="7"/>
      <c r="C47" s="7"/>
      <c r="D47" s="8"/>
      <c r="E47" s="8"/>
      <c r="F47" s="7"/>
      <c r="G47" s="7"/>
      <c r="H47" s="7"/>
      <c r="I47" s="13"/>
      <c r="J47" s="8"/>
      <c r="K47" s="11"/>
    </row>
    <row r="48" spans="1:11" x14ac:dyDescent="0.3">
      <c r="A48" s="7"/>
      <c r="B48" s="7"/>
      <c r="C48" s="7"/>
      <c r="D48" s="16"/>
      <c r="E48" s="16"/>
      <c r="F48" s="7"/>
      <c r="G48" s="7"/>
      <c r="H48" s="7"/>
      <c r="I48" s="13"/>
      <c r="J48" s="16"/>
      <c r="K48" s="11"/>
    </row>
    <row r="49" spans="1:11" x14ac:dyDescent="0.3">
      <c r="A49" s="7"/>
      <c r="B49" s="7"/>
      <c r="C49" s="7"/>
      <c r="D49" s="16"/>
      <c r="E49" s="16"/>
      <c r="F49" s="7"/>
      <c r="G49" s="7"/>
      <c r="H49" s="7"/>
      <c r="I49" s="13"/>
      <c r="J49" s="16"/>
      <c r="K49" s="11"/>
    </row>
    <row r="50" spans="1:11" x14ac:dyDescent="0.3">
      <c r="A50" s="7"/>
      <c r="B50" s="7"/>
      <c r="C50" s="7"/>
      <c r="D50" s="16"/>
      <c r="E50" s="16"/>
      <c r="F50" s="7"/>
      <c r="G50" s="7"/>
      <c r="H50" s="7"/>
      <c r="I50" s="13"/>
      <c r="J50" s="16"/>
      <c r="K50" s="11"/>
    </row>
    <row r="51" spans="1:11" x14ac:dyDescent="0.3">
      <c r="A51" s="7"/>
      <c r="B51" s="7"/>
      <c r="C51" s="7"/>
      <c r="D51" s="16"/>
      <c r="E51" s="16"/>
      <c r="F51" s="7"/>
      <c r="G51" s="7"/>
      <c r="H51" s="7"/>
      <c r="I51" s="13"/>
      <c r="J51" s="16"/>
      <c r="K51" s="11"/>
    </row>
    <row r="52" spans="1:11" x14ac:dyDescent="0.3">
      <c r="A52" s="7"/>
      <c r="B52" s="7"/>
      <c r="C52" s="7"/>
      <c r="D52" s="16"/>
      <c r="E52" s="16"/>
      <c r="F52" s="7"/>
      <c r="G52" s="7"/>
      <c r="H52" s="7"/>
      <c r="I52" s="13"/>
      <c r="J52" s="16"/>
      <c r="K52" s="11"/>
    </row>
    <row r="53" spans="1:11" x14ac:dyDescent="0.3">
      <c r="A53" s="7"/>
      <c r="B53" s="7"/>
      <c r="C53" s="7"/>
      <c r="D53" s="16"/>
      <c r="E53" s="16"/>
      <c r="F53" s="7"/>
      <c r="G53" s="7"/>
      <c r="H53" s="7"/>
      <c r="I53" s="13"/>
      <c r="J53" s="16"/>
      <c r="K53" s="11"/>
    </row>
    <row r="54" spans="1:11" x14ac:dyDescent="0.3">
      <c r="A54" s="7"/>
      <c r="B54" s="7"/>
      <c r="C54" s="7"/>
      <c r="D54" s="16"/>
      <c r="E54" s="16"/>
      <c r="F54" s="7"/>
      <c r="G54" s="7"/>
      <c r="H54" s="7"/>
      <c r="I54" s="13"/>
      <c r="J54" s="16"/>
      <c r="K54" s="11"/>
    </row>
    <row r="55" spans="1:11" x14ac:dyDescent="0.3">
      <c r="A55" s="7"/>
      <c r="B55" s="7"/>
      <c r="C55" s="7"/>
      <c r="D55" s="16"/>
      <c r="E55" s="16"/>
      <c r="F55" s="7"/>
      <c r="G55" s="7"/>
      <c r="H55" s="7"/>
      <c r="I55" s="13"/>
      <c r="J55" s="16"/>
      <c r="K55" s="11"/>
    </row>
    <row r="56" spans="1:11" x14ac:dyDescent="0.3">
      <c r="A56" s="7"/>
      <c r="B56" s="7"/>
      <c r="C56" s="7"/>
      <c r="D56" s="16"/>
      <c r="E56" s="16"/>
      <c r="F56" s="7"/>
      <c r="G56" s="7"/>
      <c r="H56" s="7"/>
      <c r="I56" s="13"/>
      <c r="J56" s="16"/>
      <c r="K56" s="11"/>
    </row>
    <row r="57" spans="1:11" x14ac:dyDescent="0.3">
      <c r="A57" s="7"/>
      <c r="B57" s="7"/>
      <c r="C57" s="7"/>
      <c r="D57" s="16"/>
      <c r="E57" s="16"/>
      <c r="F57" s="7"/>
      <c r="G57" s="7"/>
      <c r="H57" s="7"/>
      <c r="I57" s="13"/>
      <c r="J57" s="16"/>
      <c r="K57" s="11"/>
    </row>
    <row r="58" spans="1:11" x14ac:dyDescent="0.3">
      <c r="A58" s="7"/>
      <c r="B58" s="7"/>
      <c r="C58" s="7"/>
      <c r="D58" s="16"/>
      <c r="E58" s="16"/>
      <c r="F58" s="7"/>
      <c r="G58" s="7"/>
      <c r="H58" s="7"/>
      <c r="I58" s="13"/>
      <c r="J58" s="16"/>
      <c r="K58" s="11"/>
    </row>
    <row r="59" spans="1:11" x14ac:dyDescent="0.3">
      <c r="A59" s="7"/>
      <c r="B59" s="7"/>
      <c r="C59" s="7"/>
      <c r="D59" s="16"/>
      <c r="E59" s="16"/>
      <c r="F59" s="7"/>
      <c r="G59" s="7"/>
      <c r="H59" s="7"/>
      <c r="I59" s="13"/>
      <c r="J59" s="16"/>
      <c r="K59" s="11"/>
    </row>
    <row r="60" spans="1:11" x14ac:dyDescent="0.3">
      <c r="A60" s="7"/>
      <c r="B60" s="7"/>
      <c r="C60" s="7"/>
      <c r="D60" s="16"/>
      <c r="E60" s="16"/>
      <c r="F60" s="7"/>
      <c r="G60" s="7"/>
      <c r="H60" s="7"/>
      <c r="I60" s="13"/>
      <c r="J60" s="16"/>
      <c r="K60" s="11"/>
    </row>
    <row r="61" spans="1:11" x14ac:dyDescent="0.3">
      <c r="A61" s="7"/>
      <c r="B61" s="7"/>
      <c r="C61" s="7"/>
      <c r="D61" s="16"/>
      <c r="E61" s="16"/>
      <c r="F61" s="7"/>
      <c r="G61" s="7"/>
      <c r="H61" s="7"/>
      <c r="I61" s="13"/>
      <c r="J61" s="16"/>
      <c r="K61" s="11"/>
    </row>
    <row r="62" spans="1:11" x14ac:dyDescent="0.3">
      <c r="D62" s="4"/>
      <c r="E62" s="4"/>
      <c r="J62" s="4"/>
      <c r="K62" s="6"/>
    </row>
    <row r="63" spans="1:11" x14ac:dyDescent="0.3">
      <c r="D63" s="4"/>
      <c r="E63" s="4"/>
      <c r="J63" s="4"/>
      <c r="K63" s="6"/>
    </row>
    <row r="64" spans="1:11" x14ac:dyDescent="0.3">
      <c r="D64" s="4"/>
      <c r="E64" s="4"/>
      <c r="J64" s="4"/>
      <c r="K64" s="6"/>
    </row>
    <row r="65" spans="4:11" x14ac:dyDescent="0.3">
      <c r="D65" s="4"/>
      <c r="E65" s="4"/>
      <c r="J65" s="4"/>
      <c r="K65" s="6"/>
    </row>
    <row r="66" spans="4:11" x14ac:dyDescent="0.3">
      <c r="D66" s="4"/>
      <c r="E66" s="4"/>
      <c r="J66" s="4"/>
      <c r="K66" s="6"/>
    </row>
    <row r="67" spans="4:11" x14ac:dyDescent="0.3">
      <c r="D67" s="4"/>
      <c r="E67" s="4"/>
      <c r="J67" s="4"/>
      <c r="K67" s="6"/>
    </row>
    <row r="68" spans="4:11" x14ac:dyDescent="0.3">
      <c r="D68" s="4"/>
      <c r="E68" s="4"/>
      <c r="J68" s="4"/>
      <c r="K68" s="6"/>
    </row>
    <row r="69" spans="4:11" x14ac:dyDescent="0.3">
      <c r="D69" s="4"/>
      <c r="E69" s="4"/>
      <c r="J69" s="4"/>
      <c r="K69" s="6"/>
    </row>
    <row r="70" spans="4:11" x14ac:dyDescent="0.3">
      <c r="D70" s="4"/>
      <c r="E70" s="4"/>
      <c r="J70" s="4"/>
      <c r="K70" s="6"/>
    </row>
    <row r="71" spans="4:11" x14ac:dyDescent="0.3">
      <c r="D71" s="4"/>
      <c r="E71" s="4"/>
      <c r="J71" s="4"/>
      <c r="K71" s="6"/>
    </row>
    <row r="72" spans="4:11" x14ac:dyDescent="0.3">
      <c r="D72" s="4"/>
      <c r="E72" s="4"/>
      <c r="J72" s="4"/>
      <c r="K72" s="6"/>
    </row>
    <row r="73" spans="4:11" x14ac:dyDescent="0.3">
      <c r="D73" s="4"/>
      <c r="E73" s="4"/>
      <c r="J73" s="4"/>
      <c r="K73" s="6"/>
    </row>
    <row r="74" spans="4:11" x14ac:dyDescent="0.3">
      <c r="D74" s="4"/>
      <c r="E74" s="4"/>
      <c r="J74" s="4"/>
      <c r="K74" s="6"/>
    </row>
    <row r="75" spans="4:11" x14ac:dyDescent="0.3">
      <c r="D75" s="4"/>
      <c r="E75" s="4"/>
      <c r="J75" s="4"/>
      <c r="K75" s="6"/>
    </row>
    <row r="76" spans="4:11" x14ac:dyDescent="0.3">
      <c r="D76" s="4"/>
      <c r="E76" s="4"/>
      <c r="J76" s="4"/>
      <c r="K76" s="6"/>
    </row>
    <row r="77" spans="4:11" x14ac:dyDescent="0.3">
      <c r="D77" s="4"/>
      <c r="E77" s="4"/>
      <c r="J77" s="4"/>
      <c r="K77" s="6"/>
    </row>
    <row r="78" spans="4:11" x14ac:dyDescent="0.3">
      <c r="D78" s="4"/>
      <c r="E78" s="4"/>
      <c r="J78" s="4"/>
      <c r="K78" s="6"/>
    </row>
    <row r="79" spans="4:11" x14ac:dyDescent="0.3">
      <c r="D79" s="4"/>
      <c r="E79" s="4"/>
      <c r="J79" s="4"/>
      <c r="K79" s="6"/>
    </row>
    <row r="80" spans="4:11" x14ac:dyDescent="0.3">
      <c r="D80" s="4"/>
      <c r="E80" s="4"/>
      <c r="J80" s="4"/>
      <c r="K80" s="6"/>
    </row>
    <row r="81" spans="4:11" x14ac:dyDescent="0.3">
      <c r="D81" s="4"/>
      <c r="E81" s="4"/>
      <c r="J81" s="4"/>
      <c r="K81" s="6"/>
    </row>
    <row r="82" spans="4:11" x14ac:dyDescent="0.3">
      <c r="D82" s="4"/>
      <c r="E82" s="4"/>
      <c r="J82" s="4"/>
      <c r="K82" s="6"/>
    </row>
    <row r="83" spans="4:11" x14ac:dyDescent="0.3">
      <c r="D83" s="4"/>
      <c r="E83" s="4"/>
      <c r="J83" s="4"/>
      <c r="K83" s="6"/>
    </row>
    <row r="84" spans="4:11" x14ac:dyDescent="0.3">
      <c r="D84" s="4"/>
      <c r="E84" s="4"/>
      <c r="J84" s="4"/>
      <c r="K84" s="6"/>
    </row>
    <row r="85" spans="4:11" x14ac:dyDescent="0.3">
      <c r="D85" s="4"/>
      <c r="E85" s="4"/>
      <c r="J85" s="4"/>
      <c r="K85" s="6"/>
    </row>
    <row r="86" spans="4:11" x14ac:dyDescent="0.3">
      <c r="D86" s="4"/>
      <c r="E86" s="4"/>
      <c r="J86" s="4"/>
      <c r="K86" s="6"/>
    </row>
    <row r="87" spans="4:11" x14ac:dyDescent="0.3">
      <c r="D87" s="4"/>
      <c r="E87" s="4"/>
      <c r="J87" s="4"/>
      <c r="K87" s="6"/>
    </row>
    <row r="88" spans="4:11" x14ac:dyDescent="0.3">
      <c r="D88" s="4"/>
      <c r="E88" s="4"/>
      <c r="J88" s="4"/>
      <c r="K88" s="6"/>
    </row>
    <row r="89" spans="4:11" x14ac:dyDescent="0.3">
      <c r="D89" s="4"/>
      <c r="E89" s="4"/>
      <c r="J89" s="4"/>
      <c r="K89" s="6"/>
    </row>
    <row r="90" spans="4:11" x14ac:dyDescent="0.3">
      <c r="D90" s="4"/>
      <c r="E90" s="4"/>
      <c r="J90" s="4"/>
      <c r="K90" s="6"/>
    </row>
    <row r="91" spans="4:11" x14ac:dyDescent="0.3">
      <c r="D91" s="4"/>
      <c r="E91" s="4"/>
      <c r="J91" s="4"/>
      <c r="K91" s="6"/>
    </row>
    <row r="92" spans="4:11" x14ac:dyDescent="0.3">
      <c r="D92" s="4"/>
      <c r="E92" s="4"/>
      <c r="J92" s="4"/>
      <c r="K92" s="6"/>
    </row>
    <row r="93" spans="4:11" x14ac:dyDescent="0.3">
      <c r="D93" s="4"/>
      <c r="E93" s="4"/>
      <c r="J93" s="4"/>
      <c r="K93" s="6"/>
    </row>
    <row r="94" spans="4:11" x14ac:dyDescent="0.3">
      <c r="D94" s="4"/>
      <c r="E94" s="4"/>
      <c r="J94" s="4"/>
      <c r="K94" s="6"/>
    </row>
    <row r="95" spans="4:11" x14ac:dyDescent="0.3">
      <c r="D95" s="4"/>
      <c r="E95" s="4"/>
      <c r="J95" s="4"/>
      <c r="K95" s="6"/>
    </row>
    <row r="96" spans="4:11" x14ac:dyDescent="0.3">
      <c r="D96" s="4"/>
      <c r="E96" s="4"/>
      <c r="J96" s="4"/>
      <c r="K96" s="6"/>
    </row>
    <row r="97" spans="4:11" x14ac:dyDescent="0.3">
      <c r="D97" s="4"/>
      <c r="E97" s="4"/>
      <c r="J97" s="4"/>
      <c r="K97" s="6"/>
    </row>
    <row r="98" spans="4:11" x14ac:dyDescent="0.3">
      <c r="D98" s="4"/>
      <c r="E98" s="4"/>
      <c r="J98" s="4"/>
      <c r="K98" s="6"/>
    </row>
    <row r="99" spans="4:11" x14ac:dyDescent="0.3">
      <c r="D99" s="4"/>
      <c r="E99" s="4"/>
      <c r="J99" s="4"/>
      <c r="K99" s="6"/>
    </row>
    <row r="100" spans="4:11" x14ac:dyDescent="0.3">
      <c r="D100" s="4"/>
      <c r="E100" s="4"/>
      <c r="J100" s="4"/>
      <c r="K100" s="6"/>
    </row>
    <row r="101" spans="4:11" x14ac:dyDescent="0.3">
      <c r="D101" s="4"/>
      <c r="E101" s="4"/>
      <c r="J101" s="4"/>
      <c r="K101" s="6"/>
    </row>
    <row r="102" spans="4:11" x14ac:dyDescent="0.3">
      <c r="D102" s="4"/>
      <c r="E102" s="4"/>
      <c r="J102" s="4"/>
      <c r="K102" s="6"/>
    </row>
    <row r="103" spans="4:11" x14ac:dyDescent="0.3">
      <c r="D103" s="4"/>
      <c r="E103" s="4"/>
      <c r="J103" s="4"/>
      <c r="K103" s="6"/>
    </row>
    <row r="104" spans="4:11" x14ac:dyDescent="0.3">
      <c r="D104" s="4"/>
      <c r="E104" s="4"/>
      <c r="J104" s="4"/>
      <c r="K104" s="6"/>
    </row>
    <row r="105" spans="4:11" x14ac:dyDescent="0.3">
      <c r="D105" s="4"/>
      <c r="E105" s="4"/>
      <c r="J105" s="4"/>
      <c r="K105" s="6"/>
    </row>
    <row r="106" spans="4:11" x14ac:dyDescent="0.3">
      <c r="D106" s="4"/>
      <c r="E106" s="4"/>
      <c r="J106" s="4"/>
      <c r="K106" s="6"/>
    </row>
    <row r="107" spans="4:11" x14ac:dyDescent="0.3">
      <c r="D107" s="4"/>
      <c r="E107" s="4"/>
      <c r="J107" s="4"/>
      <c r="K107" s="6"/>
    </row>
    <row r="108" spans="4:11" x14ac:dyDescent="0.3">
      <c r="D108" s="4"/>
      <c r="E108" s="4"/>
      <c r="J108" s="4"/>
      <c r="K108" s="6"/>
    </row>
    <row r="109" spans="4:11" x14ac:dyDescent="0.3">
      <c r="D109" s="4"/>
      <c r="E109" s="4"/>
      <c r="J109" s="4"/>
      <c r="K109" s="6"/>
    </row>
    <row r="110" spans="4:11" x14ac:dyDescent="0.3">
      <c r="D110" s="4"/>
      <c r="E110" s="4"/>
      <c r="J110" s="4"/>
      <c r="K110" s="6"/>
    </row>
    <row r="111" spans="4:11" x14ac:dyDescent="0.3">
      <c r="D111" s="4"/>
      <c r="E111" s="4"/>
      <c r="J111" s="4"/>
      <c r="K111" s="6"/>
    </row>
    <row r="112" spans="4:11" x14ac:dyDescent="0.3">
      <c r="D112" s="4"/>
      <c r="E112" s="4"/>
      <c r="J112" s="4"/>
      <c r="K112" s="6"/>
    </row>
    <row r="113" spans="4:11" x14ac:dyDescent="0.3">
      <c r="D113" s="4"/>
      <c r="E113" s="4"/>
      <c r="J113" s="4"/>
      <c r="K113" s="6"/>
    </row>
    <row r="114" spans="4:11" x14ac:dyDescent="0.3">
      <c r="D114" s="4"/>
      <c r="E114" s="4"/>
      <c r="J114" s="4"/>
      <c r="K114" s="6"/>
    </row>
    <row r="115" spans="4:11" x14ac:dyDescent="0.3">
      <c r="D115" s="4"/>
      <c r="E115" s="4"/>
      <c r="J115" s="4"/>
      <c r="K115" s="6"/>
    </row>
    <row r="116" spans="4:11" x14ac:dyDescent="0.3">
      <c r="D116" s="4"/>
      <c r="E116" s="4"/>
      <c r="J116" s="4"/>
      <c r="K116" s="6"/>
    </row>
    <row r="117" spans="4:11" x14ac:dyDescent="0.3">
      <c r="D117" s="4"/>
      <c r="E117" s="4"/>
      <c r="J117" s="4"/>
      <c r="K117" s="6"/>
    </row>
    <row r="118" spans="4:11" x14ac:dyDescent="0.3">
      <c r="D118" s="4"/>
      <c r="E118" s="4"/>
      <c r="J118" s="4"/>
      <c r="K118" s="6"/>
    </row>
    <row r="119" spans="4:11" x14ac:dyDescent="0.3">
      <c r="D119" s="4"/>
      <c r="E119" s="4"/>
      <c r="J119" s="4"/>
      <c r="K119" s="6"/>
    </row>
    <row r="120" spans="4:11" x14ac:dyDescent="0.3">
      <c r="D120" s="4"/>
      <c r="E120" s="4"/>
      <c r="J120" s="4"/>
      <c r="K120" s="6"/>
    </row>
    <row r="121" spans="4:11" x14ac:dyDescent="0.3">
      <c r="D121" s="4"/>
      <c r="E121" s="4"/>
      <c r="J121" s="4"/>
      <c r="K121" s="6"/>
    </row>
    <row r="122" spans="4:11" x14ac:dyDescent="0.3">
      <c r="D122" s="4"/>
      <c r="E122" s="4"/>
      <c r="J122" s="4"/>
      <c r="K122" s="6"/>
    </row>
    <row r="123" spans="4:11" x14ac:dyDescent="0.3">
      <c r="D123" s="4"/>
      <c r="E123" s="4"/>
      <c r="J123" s="4"/>
      <c r="K123" s="6"/>
    </row>
    <row r="124" spans="4:11" x14ac:dyDescent="0.3">
      <c r="D124" s="4"/>
      <c r="E124" s="4"/>
      <c r="J124" s="4"/>
      <c r="K124" s="6"/>
    </row>
    <row r="125" spans="4:11" x14ac:dyDescent="0.3">
      <c r="D125" s="4"/>
      <c r="E125" s="4"/>
      <c r="J125" s="4"/>
      <c r="K125" s="6"/>
    </row>
    <row r="126" spans="4:11" x14ac:dyDescent="0.3">
      <c r="D126" s="4"/>
      <c r="E126" s="4"/>
      <c r="J126" s="4"/>
      <c r="K126" s="6"/>
    </row>
    <row r="127" spans="4:11" x14ac:dyDescent="0.3">
      <c r="D127" s="4"/>
      <c r="E127" s="4"/>
      <c r="J127" s="4"/>
      <c r="K127" s="6"/>
    </row>
    <row r="128" spans="4:11" x14ac:dyDescent="0.3">
      <c r="D128" s="4"/>
      <c r="E128" s="4"/>
      <c r="J128" s="4"/>
      <c r="K128" s="6"/>
    </row>
    <row r="129" spans="4:11" x14ac:dyDescent="0.3">
      <c r="D129" s="4"/>
      <c r="E129" s="4"/>
      <c r="J129" s="4"/>
      <c r="K129" s="6"/>
    </row>
    <row r="130" spans="4:11" x14ac:dyDescent="0.3">
      <c r="D130" s="4"/>
      <c r="E130" s="4"/>
      <c r="J130" s="4"/>
      <c r="K130" s="6"/>
    </row>
    <row r="131" spans="4:11" x14ac:dyDescent="0.3">
      <c r="D131" s="4"/>
      <c r="E131" s="4"/>
      <c r="J131" s="4"/>
      <c r="K131" s="6"/>
    </row>
    <row r="132" spans="4:11" x14ac:dyDescent="0.3">
      <c r="D132" s="4"/>
      <c r="E132" s="4"/>
      <c r="J132" s="4"/>
      <c r="K132" s="6"/>
    </row>
    <row r="133" spans="4:11" x14ac:dyDescent="0.3">
      <c r="D133" s="4"/>
      <c r="E133" s="4"/>
      <c r="J133" s="4"/>
      <c r="K133" s="6"/>
    </row>
    <row r="134" spans="4:11" x14ac:dyDescent="0.3">
      <c r="D134" s="4"/>
      <c r="E134" s="4"/>
      <c r="J134" s="4"/>
      <c r="K134" s="6"/>
    </row>
    <row r="135" spans="4:11" x14ac:dyDescent="0.3">
      <c r="D135" s="4"/>
      <c r="E135" s="4"/>
      <c r="J135" s="4"/>
      <c r="K135" s="6"/>
    </row>
    <row r="136" spans="4:11" x14ac:dyDescent="0.3">
      <c r="D136" s="4"/>
      <c r="E136" s="4"/>
      <c r="J136" s="4"/>
      <c r="K136" s="6"/>
    </row>
    <row r="137" spans="4:11" x14ac:dyDescent="0.3">
      <c r="D137" s="4"/>
      <c r="E137" s="4"/>
      <c r="J137" s="4"/>
      <c r="K137" s="6"/>
    </row>
    <row r="138" spans="4:11" x14ac:dyDescent="0.3">
      <c r="D138" s="4"/>
      <c r="E138" s="4"/>
      <c r="J138" s="4"/>
      <c r="K138" s="6"/>
    </row>
    <row r="139" spans="4:11" x14ac:dyDescent="0.3">
      <c r="D139" s="4"/>
      <c r="E139" s="4"/>
      <c r="J139" s="4"/>
      <c r="K139" s="6"/>
    </row>
    <row r="140" spans="4:11" x14ac:dyDescent="0.3">
      <c r="D140" s="4"/>
      <c r="E140" s="4"/>
      <c r="J140" s="4"/>
      <c r="K140" s="6"/>
    </row>
    <row r="141" spans="4:11" x14ac:dyDescent="0.3">
      <c r="D141" s="4"/>
      <c r="E141" s="4"/>
      <c r="J141" s="4"/>
      <c r="K141" s="6"/>
    </row>
    <row r="142" spans="4:11" x14ac:dyDescent="0.3">
      <c r="D142" s="4"/>
      <c r="E142" s="4"/>
      <c r="J142" s="4"/>
      <c r="K142" s="6"/>
    </row>
    <row r="143" spans="4:11" x14ac:dyDescent="0.3">
      <c r="D143" s="4"/>
      <c r="E143" s="4"/>
      <c r="J143" s="4"/>
      <c r="K143" s="6"/>
    </row>
    <row r="144" spans="4:11" x14ac:dyDescent="0.3">
      <c r="D144" s="4"/>
      <c r="E144" s="4"/>
      <c r="J144" s="4"/>
      <c r="K144" s="6"/>
    </row>
    <row r="145" spans="4:11" x14ac:dyDescent="0.3">
      <c r="D145" s="4"/>
      <c r="E145" s="4"/>
      <c r="J145" s="4"/>
      <c r="K145" s="6"/>
    </row>
    <row r="146" spans="4:11" x14ac:dyDescent="0.3">
      <c r="D146" s="4"/>
      <c r="E146" s="4"/>
      <c r="J146" s="4"/>
      <c r="K146" s="6"/>
    </row>
    <row r="147" spans="4:11" x14ac:dyDescent="0.3">
      <c r="D147" s="4"/>
      <c r="E147" s="4"/>
      <c r="J147" s="4"/>
      <c r="K147" s="6"/>
    </row>
    <row r="148" spans="4:11" x14ac:dyDescent="0.3">
      <c r="D148" s="4"/>
      <c r="E148" s="4"/>
      <c r="J148" s="4"/>
      <c r="K148" s="6"/>
    </row>
    <row r="149" spans="4:11" x14ac:dyDescent="0.3">
      <c r="D149" s="4"/>
      <c r="E149" s="4"/>
      <c r="J149" s="4"/>
      <c r="K149" s="6"/>
    </row>
    <row r="150" spans="4:11" x14ac:dyDescent="0.3">
      <c r="D150" s="4"/>
      <c r="E150" s="4"/>
      <c r="J150" s="4"/>
      <c r="K150" s="6"/>
    </row>
    <row r="151" spans="4:11" x14ac:dyDescent="0.3">
      <c r="D151" s="4"/>
      <c r="E151" s="4"/>
      <c r="J151" s="4"/>
      <c r="K151" s="6"/>
    </row>
    <row r="152" spans="4:11" x14ac:dyDescent="0.3">
      <c r="D152" s="4"/>
      <c r="E152" s="4"/>
      <c r="J152" s="4"/>
      <c r="K152" s="6"/>
    </row>
    <row r="153" spans="4:11" x14ac:dyDescent="0.3">
      <c r="D153" s="4"/>
      <c r="E153" s="4"/>
      <c r="J153" s="4"/>
      <c r="K153" s="6"/>
    </row>
    <row r="154" spans="4:11" x14ac:dyDescent="0.3">
      <c r="D154" s="4"/>
      <c r="E154" s="4"/>
      <c r="J154" s="4"/>
      <c r="K154" s="6"/>
    </row>
    <row r="155" spans="4:11" x14ac:dyDescent="0.3">
      <c r="D155" s="4"/>
      <c r="E155" s="4"/>
      <c r="J155" s="4"/>
      <c r="K155" s="6"/>
    </row>
    <row r="156" spans="4:11" x14ac:dyDescent="0.3">
      <c r="D156" s="4"/>
      <c r="E156" s="4"/>
      <c r="J156" s="4"/>
      <c r="K156" s="6"/>
    </row>
    <row r="157" spans="4:11" x14ac:dyDescent="0.3">
      <c r="D157" s="4"/>
      <c r="E157" s="4"/>
      <c r="J157" s="4"/>
      <c r="K157" s="6"/>
    </row>
    <row r="158" spans="4:11" x14ac:dyDescent="0.3">
      <c r="D158" s="4"/>
      <c r="E158" s="4"/>
      <c r="J158" s="4"/>
      <c r="K158" s="6"/>
    </row>
    <row r="159" spans="4:11" x14ac:dyDescent="0.3">
      <c r="D159" s="4"/>
      <c r="E159" s="4"/>
      <c r="J159" s="4"/>
      <c r="K159" s="6"/>
    </row>
    <row r="160" spans="4:11" x14ac:dyDescent="0.3">
      <c r="D160" s="4"/>
      <c r="E160" s="4"/>
      <c r="J160" s="4"/>
      <c r="K160" s="6"/>
    </row>
    <row r="161" spans="4:11" x14ac:dyDescent="0.3">
      <c r="D161" s="4"/>
      <c r="E161" s="4"/>
      <c r="J161" s="4"/>
      <c r="K161" s="6"/>
    </row>
    <row r="162" spans="4:11" x14ac:dyDescent="0.3">
      <c r="D162" s="4"/>
      <c r="E162" s="4"/>
      <c r="J162" s="4"/>
      <c r="K162" s="6"/>
    </row>
    <row r="163" spans="4:11" x14ac:dyDescent="0.3">
      <c r="D163" s="4"/>
      <c r="E163" s="4"/>
      <c r="J163" s="4"/>
      <c r="K163" s="6"/>
    </row>
    <row r="164" spans="4:11" x14ac:dyDescent="0.3">
      <c r="D164" s="4"/>
      <c r="E164" s="4"/>
      <c r="J164" s="4"/>
      <c r="K164" s="6"/>
    </row>
    <row r="165" spans="4:11" x14ac:dyDescent="0.3">
      <c r="D165" s="4"/>
      <c r="E165" s="4"/>
      <c r="J165" s="4"/>
      <c r="K165" s="6"/>
    </row>
    <row r="166" spans="4:11" x14ac:dyDescent="0.3">
      <c r="D166" s="4"/>
      <c r="E166" s="4"/>
      <c r="J166" s="4"/>
      <c r="K166" s="6"/>
    </row>
    <row r="167" spans="4:11" x14ac:dyDescent="0.3">
      <c r="D167" s="4"/>
      <c r="E167" s="4"/>
      <c r="J167" s="4"/>
      <c r="K167" s="6"/>
    </row>
    <row r="168" spans="4:11" x14ac:dyDescent="0.3">
      <c r="D168" s="4"/>
      <c r="E168" s="4"/>
      <c r="J168" s="4"/>
      <c r="K168" s="6"/>
    </row>
    <row r="169" spans="4:11" x14ac:dyDescent="0.3">
      <c r="D169" s="4"/>
      <c r="E169" s="4"/>
      <c r="J169" s="4"/>
      <c r="K169" s="6"/>
    </row>
    <row r="170" spans="4:11" x14ac:dyDescent="0.3">
      <c r="D170" s="4"/>
      <c r="E170" s="4"/>
      <c r="J170" s="4"/>
      <c r="K170" s="6"/>
    </row>
    <row r="171" spans="4:11" x14ac:dyDescent="0.3">
      <c r="D171" s="4"/>
      <c r="E171" s="4"/>
      <c r="J171" s="4"/>
      <c r="K171" s="6"/>
    </row>
    <row r="172" spans="4:11" x14ac:dyDescent="0.3">
      <c r="D172" s="4"/>
      <c r="E172" s="4"/>
      <c r="J172" s="4"/>
      <c r="K172" s="6"/>
    </row>
    <row r="173" spans="4:11" x14ac:dyDescent="0.3">
      <c r="D173" s="4"/>
      <c r="E173" s="4"/>
      <c r="J173" s="4"/>
      <c r="K173" s="6"/>
    </row>
    <row r="174" spans="4:11" x14ac:dyDescent="0.3">
      <c r="D174" s="4"/>
      <c r="E174" s="4"/>
      <c r="J174" s="4"/>
      <c r="K174" s="6"/>
    </row>
    <row r="175" spans="4:11" x14ac:dyDescent="0.3">
      <c r="D175" s="4"/>
      <c r="E175" s="4"/>
      <c r="J175" s="4"/>
      <c r="K175" s="6"/>
    </row>
    <row r="176" spans="4:11" x14ac:dyDescent="0.3">
      <c r="D176" s="4"/>
      <c r="E176" s="4"/>
      <c r="J176" s="4"/>
      <c r="K176" s="6"/>
    </row>
    <row r="177" spans="4:11" x14ac:dyDescent="0.3">
      <c r="D177" s="4"/>
      <c r="E177" s="4"/>
      <c r="J177" s="4"/>
      <c r="K177" s="6"/>
    </row>
    <row r="178" spans="4:11" x14ac:dyDescent="0.3">
      <c r="D178" s="4"/>
      <c r="E178" s="4"/>
      <c r="J178" s="4"/>
      <c r="K178" s="6"/>
    </row>
    <row r="179" spans="4:11" x14ac:dyDescent="0.3">
      <c r="D179" s="4"/>
      <c r="E179" s="4"/>
      <c r="J179" s="4"/>
      <c r="K179" s="6"/>
    </row>
    <row r="180" spans="4:11" x14ac:dyDescent="0.3">
      <c r="D180" s="4"/>
      <c r="E180" s="4"/>
      <c r="J180" s="4"/>
      <c r="K180" s="6"/>
    </row>
    <row r="181" spans="4:11" x14ac:dyDescent="0.3">
      <c r="D181" s="4"/>
      <c r="E181" s="4"/>
      <c r="J181" s="4"/>
      <c r="K181" s="6"/>
    </row>
    <row r="182" spans="4:11" x14ac:dyDescent="0.3">
      <c r="D182" s="4"/>
      <c r="E182" s="4"/>
      <c r="J182" s="4"/>
      <c r="K182" s="6"/>
    </row>
    <row r="183" spans="4:11" x14ac:dyDescent="0.3">
      <c r="D183" s="4"/>
      <c r="E183" s="4"/>
      <c r="J183" s="4"/>
      <c r="K183" s="6"/>
    </row>
    <row r="184" spans="4:11" x14ac:dyDescent="0.3">
      <c r="D184" s="4"/>
      <c r="E184" s="4"/>
      <c r="J184" s="4"/>
      <c r="K184" s="6"/>
    </row>
    <row r="185" spans="4:11" x14ac:dyDescent="0.3">
      <c r="D185" s="4"/>
      <c r="E185" s="4"/>
      <c r="J185" s="4"/>
      <c r="K185" s="6"/>
    </row>
    <row r="186" spans="4:11" x14ac:dyDescent="0.3">
      <c r="D186" s="4"/>
      <c r="E186" s="4"/>
      <c r="J186" s="4"/>
      <c r="K186" s="6"/>
    </row>
    <row r="187" spans="4:11" x14ac:dyDescent="0.3">
      <c r="D187" s="4"/>
      <c r="E187" s="4"/>
      <c r="J187" s="4"/>
      <c r="K187" s="6"/>
    </row>
    <row r="188" spans="4:11" x14ac:dyDescent="0.3">
      <c r="D188" s="4"/>
      <c r="E188" s="4"/>
      <c r="J188" s="4"/>
      <c r="K188" s="6"/>
    </row>
    <row r="189" spans="4:11" x14ac:dyDescent="0.3">
      <c r="D189" s="4"/>
      <c r="E189" s="4"/>
      <c r="J189" s="4"/>
      <c r="K189" s="6"/>
    </row>
    <row r="190" spans="4:11" x14ac:dyDescent="0.3">
      <c r="D190" s="4"/>
      <c r="E190" s="4"/>
      <c r="J190" s="4"/>
      <c r="K190" s="6"/>
    </row>
    <row r="191" spans="4:11" x14ac:dyDescent="0.3">
      <c r="D191" s="4"/>
      <c r="E191" s="4"/>
      <c r="J191" s="4"/>
      <c r="K191" s="6"/>
    </row>
    <row r="192" spans="4:11" x14ac:dyDescent="0.3">
      <c r="D192" s="4"/>
      <c r="E192" s="4"/>
      <c r="J192" s="4"/>
      <c r="K192" s="6"/>
    </row>
    <row r="193" spans="4:11" x14ac:dyDescent="0.3">
      <c r="D193" s="4"/>
      <c r="E193" s="4"/>
      <c r="J193" s="4"/>
      <c r="K193" s="6"/>
    </row>
    <row r="194" spans="4:11" x14ac:dyDescent="0.3">
      <c r="D194" s="4"/>
      <c r="E194" s="4"/>
      <c r="J194" s="4"/>
      <c r="K194" s="6"/>
    </row>
    <row r="195" spans="4:11" x14ac:dyDescent="0.3">
      <c r="D195" s="4"/>
      <c r="E195" s="4"/>
      <c r="J195" s="4"/>
      <c r="K195" s="6"/>
    </row>
    <row r="196" spans="4:11" x14ac:dyDescent="0.3">
      <c r="D196" s="4"/>
      <c r="E196" s="4"/>
      <c r="J196" s="4"/>
      <c r="K196" s="6"/>
    </row>
    <row r="197" spans="4:11" x14ac:dyDescent="0.3">
      <c r="D197" s="4"/>
      <c r="E197" s="4"/>
      <c r="J197" s="4"/>
      <c r="K197" s="6"/>
    </row>
    <row r="198" spans="4:11" x14ac:dyDescent="0.3">
      <c r="D198" s="4"/>
      <c r="E198" s="4"/>
      <c r="J198" s="4"/>
      <c r="K198" s="6"/>
    </row>
    <row r="199" spans="4:11" x14ac:dyDescent="0.3">
      <c r="D199" s="4"/>
      <c r="E199" s="4"/>
      <c r="J199" s="4"/>
      <c r="K199" s="6"/>
    </row>
    <row r="200" spans="4:11" x14ac:dyDescent="0.3">
      <c r="D200" s="4"/>
      <c r="E200" s="4"/>
      <c r="J200" s="4"/>
      <c r="K200" s="6"/>
    </row>
    <row r="201" spans="4:11" x14ac:dyDescent="0.3">
      <c r="D201" s="4"/>
      <c r="E201" s="4"/>
      <c r="J201" s="4"/>
      <c r="K201" s="6"/>
    </row>
    <row r="202" spans="4:11" x14ac:dyDescent="0.3">
      <c r="D202" s="4"/>
      <c r="E202" s="4"/>
      <c r="J202" s="4"/>
      <c r="K202" s="6"/>
    </row>
    <row r="203" spans="4:11" x14ac:dyDescent="0.3">
      <c r="D203" s="4"/>
      <c r="E203" s="4"/>
      <c r="J203" s="4"/>
      <c r="K203" s="6"/>
    </row>
    <row r="204" spans="4:11" x14ac:dyDescent="0.3">
      <c r="D204" s="4"/>
      <c r="E204" s="4"/>
      <c r="J204" s="4"/>
      <c r="K204" s="6"/>
    </row>
    <row r="205" spans="4:11" x14ac:dyDescent="0.3">
      <c r="D205" s="4"/>
      <c r="E205" s="4"/>
      <c r="J205" s="4"/>
      <c r="K205" s="6"/>
    </row>
    <row r="206" spans="4:11" x14ac:dyDescent="0.3">
      <c r="D206" s="4"/>
      <c r="E206" s="4"/>
      <c r="J206" s="4"/>
      <c r="K206" s="6"/>
    </row>
    <row r="207" spans="4:11" x14ac:dyDescent="0.3">
      <c r="D207" s="4"/>
      <c r="E207" s="4"/>
      <c r="J207" s="4"/>
      <c r="K207" s="6"/>
    </row>
    <row r="208" spans="4:11" x14ac:dyDescent="0.3">
      <c r="D208" s="4"/>
      <c r="E208" s="4"/>
      <c r="J208" s="4"/>
      <c r="K208" s="6"/>
    </row>
    <row r="209" spans="4:11" x14ac:dyDescent="0.3">
      <c r="D209" s="4"/>
      <c r="E209" s="4"/>
      <c r="J209" s="4"/>
      <c r="K209" s="6"/>
    </row>
    <row r="210" spans="4:11" x14ac:dyDescent="0.3">
      <c r="D210" s="4"/>
      <c r="E210" s="4"/>
      <c r="J210" s="4"/>
      <c r="K210" s="6"/>
    </row>
    <row r="211" spans="4:11" x14ac:dyDescent="0.3">
      <c r="D211" s="4"/>
      <c r="E211" s="4"/>
      <c r="J211" s="4"/>
      <c r="K211" s="6"/>
    </row>
    <row r="212" spans="4:11" x14ac:dyDescent="0.3">
      <c r="D212" s="4"/>
      <c r="E212" s="4"/>
      <c r="J212" s="4"/>
      <c r="K212" s="6"/>
    </row>
    <row r="213" spans="4:11" x14ac:dyDescent="0.3">
      <c r="D213" s="4"/>
      <c r="E213" s="4"/>
      <c r="J213" s="4"/>
      <c r="K213" s="6"/>
    </row>
    <row r="214" spans="4:11" x14ac:dyDescent="0.3">
      <c r="D214" s="4"/>
      <c r="E214" s="4"/>
      <c r="J214" s="4"/>
      <c r="K214" s="6"/>
    </row>
    <row r="215" spans="4:11" x14ac:dyDescent="0.3">
      <c r="D215" s="4"/>
      <c r="E215" s="4"/>
      <c r="J215" s="4"/>
      <c r="K215" s="6"/>
    </row>
    <row r="216" spans="4:11" x14ac:dyDescent="0.3">
      <c r="D216" s="4"/>
      <c r="E216" s="4"/>
      <c r="J216" s="4"/>
      <c r="K216" s="6"/>
    </row>
    <row r="217" spans="4:11" x14ac:dyDescent="0.3">
      <c r="D217" s="4"/>
      <c r="E217" s="4"/>
      <c r="J217" s="4"/>
      <c r="K217" s="6"/>
    </row>
    <row r="218" spans="4:11" x14ac:dyDescent="0.3">
      <c r="D218" s="4"/>
      <c r="E218" s="4"/>
      <c r="J218" s="4"/>
      <c r="K218" s="6"/>
    </row>
    <row r="219" spans="4:11" x14ac:dyDescent="0.3">
      <c r="D219" s="4"/>
      <c r="E219" s="4"/>
      <c r="J219" s="4"/>
      <c r="K219" s="6"/>
    </row>
    <row r="220" spans="4:11" x14ac:dyDescent="0.3">
      <c r="D220" s="4"/>
      <c r="E220" s="4"/>
      <c r="J220" s="4"/>
      <c r="K220" s="6"/>
    </row>
    <row r="221" spans="4:11" x14ac:dyDescent="0.3">
      <c r="D221" s="4"/>
      <c r="E221" s="4"/>
      <c r="J221" s="4"/>
      <c r="K221" s="6"/>
    </row>
    <row r="222" spans="4:11" x14ac:dyDescent="0.3">
      <c r="D222" s="4"/>
      <c r="E222" s="4"/>
      <c r="J222" s="4"/>
      <c r="K222" s="6"/>
    </row>
    <row r="223" spans="4:11" x14ac:dyDescent="0.3">
      <c r="D223" s="4"/>
      <c r="E223" s="4"/>
      <c r="J223" s="4"/>
      <c r="K223" s="6"/>
    </row>
    <row r="224" spans="4:11" x14ac:dyDescent="0.3">
      <c r="D224" s="4"/>
      <c r="E224" s="4"/>
      <c r="J224" s="4"/>
      <c r="K224" s="6"/>
    </row>
    <row r="225" spans="4:11" x14ac:dyDescent="0.3">
      <c r="D225" s="4"/>
      <c r="E225" s="4"/>
      <c r="J225" s="4"/>
      <c r="K225" s="6"/>
    </row>
    <row r="226" spans="4:11" x14ac:dyDescent="0.3">
      <c r="D226" s="4"/>
      <c r="E226" s="4"/>
      <c r="J226" s="4"/>
      <c r="K226" s="6"/>
    </row>
    <row r="227" spans="4:11" x14ac:dyDescent="0.3">
      <c r="D227" s="4"/>
      <c r="E227" s="4"/>
      <c r="J227" s="4"/>
      <c r="K227" s="6"/>
    </row>
    <row r="228" spans="4:11" x14ac:dyDescent="0.3">
      <c r="D228" s="4"/>
      <c r="E228" s="4"/>
      <c r="J228" s="4"/>
      <c r="K228" s="6"/>
    </row>
    <row r="229" spans="4:11" x14ac:dyDescent="0.3">
      <c r="D229" s="4"/>
      <c r="E229" s="4"/>
      <c r="J229" s="4"/>
      <c r="K229" s="6"/>
    </row>
    <row r="230" spans="4:11" x14ac:dyDescent="0.3">
      <c r="D230" s="4"/>
      <c r="E230" s="4"/>
      <c r="J230" s="4"/>
      <c r="K230" s="6"/>
    </row>
    <row r="231" spans="4:11" x14ac:dyDescent="0.3">
      <c r="D231" s="4"/>
      <c r="E231" s="4"/>
      <c r="J231" s="4"/>
      <c r="K231" s="6"/>
    </row>
    <row r="232" spans="4:11" x14ac:dyDescent="0.3">
      <c r="D232" s="4"/>
      <c r="E232" s="4"/>
      <c r="J232" s="4"/>
      <c r="K232" s="6"/>
    </row>
    <row r="233" spans="4:11" x14ac:dyDescent="0.3">
      <c r="D233" s="4"/>
      <c r="E233" s="4"/>
      <c r="J233" s="4"/>
      <c r="K233" s="6"/>
    </row>
    <row r="234" spans="4:11" x14ac:dyDescent="0.3">
      <c r="D234" s="4"/>
      <c r="E234" s="4"/>
      <c r="J234" s="4"/>
      <c r="K234" s="6"/>
    </row>
    <row r="235" spans="4:11" x14ac:dyDescent="0.3">
      <c r="D235" s="4"/>
      <c r="E235" s="4"/>
      <c r="J235" s="4"/>
      <c r="K235" s="6"/>
    </row>
    <row r="236" spans="4:11" x14ac:dyDescent="0.3">
      <c r="D236" s="4"/>
      <c r="E236" s="4"/>
      <c r="J236" s="4"/>
      <c r="K236" s="6"/>
    </row>
    <row r="237" spans="4:11" x14ac:dyDescent="0.3">
      <c r="D237" s="4"/>
      <c r="E237" s="4"/>
      <c r="J237" s="4"/>
      <c r="K237" s="6"/>
    </row>
    <row r="238" spans="4:11" x14ac:dyDescent="0.3">
      <c r="D238" s="4"/>
      <c r="E238" s="4"/>
      <c r="J238" s="4"/>
      <c r="K238" s="6"/>
    </row>
    <row r="239" spans="4:11" x14ac:dyDescent="0.3">
      <c r="D239" s="4"/>
      <c r="E239" s="4"/>
      <c r="J239" s="4"/>
      <c r="K239" s="6"/>
    </row>
    <row r="240" spans="4:11" x14ac:dyDescent="0.3">
      <c r="D240" s="4"/>
      <c r="E240" s="4"/>
      <c r="J240" s="4"/>
      <c r="K240" s="6"/>
    </row>
    <row r="241" spans="4:11" x14ac:dyDescent="0.3">
      <c r="D241" s="4"/>
      <c r="E241" s="4"/>
      <c r="J241" s="4"/>
      <c r="K241" s="6"/>
    </row>
    <row r="242" spans="4:11" x14ac:dyDescent="0.3">
      <c r="D242" s="4"/>
      <c r="E242" s="4"/>
      <c r="J242" s="4"/>
      <c r="K242" s="6"/>
    </row>
    <row r="243" spans="4:11" x14ac:dyDescent="0.3">
      <c r="D243" s="4"/>
      <c r="E243" s="4"/>
      <c r="J243" s="4"/>
      <c r="K243" s="6"/>
    </row>
    <row r="244" spans="4:11" x14ac:dyDescent="0.3">
      <c r="D244" s="4"/>
      <c r="E244" s="4"/>
      <c r="J244" s="4"/>
      <c r="K244" s="6"/>
    </row>
    <row r="245" spans="4:11" x14ac:dyDescent="0.3">
      <c r="D245" s="4"/>
      <c r="E245" s="4"/>
      <c r="J245" s="4"/>
      <c r="K245" s="6"/>
    </row>
    <row r="246" spans="4:11" x14ac:dyDescent="0.3">
      <c r="D246" s="4"/>
      <c r="E246" s="4"/>
      <c r="J246" s="4"/>
      <c r="K246" s="6"/>
    </row>
    <row r="247" spans="4:11" x14ac:dyDescent="0.3">
      <c r="D247" s="4"/>
      <c r="E247" s="4"/>
      <c r="J247" s="4"/>
      <c r="K247" s="6"/>
    </row>
    <row r="248" spans="4:11" x14ac:dyDescent="0.3">
      <c r="D248" s="4"/>
      <c r="E248" s="4"/>
      <c r="J248" s="4"/>
      <c r="K248" s="6"/>
    </row>
    <row r="249" spans="4:11" x14ac:dyDescent="0.3">
      <c r="D249" s="4"/>
      <c r="E249" s="4"/>
      <c r="J249" s="4"/>
      <c r="K249" s="6"/>
    </row>
    <row r="250" spans="4:11" x14ac:dyDescent="0.3">
      <c r="D250" s="4"/>
      <c r="E250" s="4"/>
      <c r="J250" s="4"/>
      <c r="K250" s="6"/>
    </row>
    <row r="251" spans="4:11" x14ac:dyDescent="0.3">
      <c r="D251" s="4"/>
      <c r="E251" s="4"/>
      <c r="J251" s="4"/>
      <c r="K251" s="6"/>
    </row>
    <row r="252" spans="4:11" x14ac:dyDescent="0.3">
      <c r="D252" s="4"/>
      <c r="E252" s="4"/>
      <c r="J252" s="4"/>
      <c r="K252" s="6"/>
    </row>
    <row r="253" spans="4:11" x14ac:dyDescent="0.3">
      <c r="D253" s="4"/>
      <c r="E253" s="4"/>
      <c r="J253" s="4"/>
      <c r="K253" s="6"/>
    </row>
    <row r="254" spans="4:11" x14ac:dyDescent="0.3">
      <c r="D254" s="4"/>
      <c r="E254" s="4"/>
      <c r="J254" s="4"/>
      <c r="K254" s="6"/>
    </row>
    <row r="255" spans="4:11" x14ac:dyDescent="0.3">
      <c r="D255" s="4"/>
      <c r="E255" s="4"/>
      <c r="J255" s="4"/>
      <c r="K255" s="6"/>
    </row>
    <row r="256" spans="4:11" x14ac:dyDescent="0.3">
      <c r="D256" s="4"/>
      <c r="E256" s="4"/>
      <c r="J256" s="4"/>
      <c r="K256" s="6"/>
    </row>
    <row r="257" spans="4:11" x14ac:dyDescent="0.3">
      <c r="D257" s="4"/>
      <c r="E257" s="4"/>
      <c r="J257" s="4"/>
      <c r="K257" s="6"/>
    </row>
    <row r="258" spans="4:11" x14ac:dyDescent="0.3">
      <c r="D258" s="4"/>
      <c r="E258" s="4"/>
      <c r="J258" s="4"/>
      <c r="K258" s="6"/>
    </row>
    <row r="259" spans="4:11" x14ac:dyDescent="0.3">
      <c r="D259" s="4"/>
      <c r="E259" s="4"/>
      <c r="J259" s="4"/>
      <c r="K259" s="6"/>
    </row>
    <row r="260" spans="4:11" x14ac:dyDescent="0.3">
      <c r="D260" s="4"/>
      <c r="E260" s="4"/>
      <c r="J260" s="4"/>
      <c r="K260" s="6"/>
    </row>
    <row r="261" spans="4:11" x14ac:dyDescent="0.3">
      <c r="D261" s="4"/>
      <c r="E261" s="4"/>
      <c r="J261" s="4"/>
      <c r="K261" s="6"/>
    </row>
    <row r="262" spans="4:11" x14ac:dyDescent="0.3">
      <c r="D262" s="4"/>
      <c r="E262" s="4"/>
      <c r="J262" s="4"/>
      <c r="K262" s="6"/>
    </row>
    <row r="263" spans="4:11" x14ac:dyDescent="0.3">
      <c r="D263" s="4"/>
      <c r="E263" s="4"/>
      <c r="J263" s="4"/>
      <c r="K263" s="6"/>
    </row>
    <row r="264" spans="4:11" x14ac:dyDescent="0.3">
      <c r="D264" s="4"/>
      <c r="E264" s="4"/>
      <c r="J264" s="4"/>
      <c r="K264" s="6"/>
    </row>
    <row r="265" spans="4:11" x14ac:dyDescent="0.3">
      <c r="D265" s="4"/>
      <c r="E265" s="4"/>
      <c r="J265" s="4"/>
      <c r="K265" s="6"/>
    </row>
    <row r="266" spans="4:11" x14ac:dyDescent="0.3">
      <c r="D266" s="4"/>
      <c r="E266" s="4"/>
      <c r="J266" s="4"/>
      <c r="K266" s="6"/>
    </row>
    <row r="267" spans="4:11" x14ac:dyDescent="0.3">
      <c r="D267" s="4"/>
      <c r="E267" s="4"/>
      <c r="J267" s="4"/>
      <c r="K267" s="6"/>
    </row>
    <row r="268" spans="4:11" x14ac:dyDescent="0.3">
      <c r="D268" s="4"/>
      <c r="E268" s="4"/>
      <c r="J268" s="4"/>
      <c r="K268" s="6"/>
    </row>
    <row r="269" spans="4:11" x14ac:dyDescent="0.3">
      <c r="D269" s="4"/>
      <c r="E269" s="4"/>
      <c r="J269" s="4"/>
      <c r="K269" s="6"/>
    </row>
    <row r="270" spans="4:11" x14ac:dyDescent="0.3">
      <c r="D270" s="4"/>
      <c r="E270" s="4"/>
      <c r="J270" s="4"/>
      <c r="K270" s="6"/>
    </row>
    <row r="271" spans="4:11" x14ac:dyDescent="0.3">
      <c r="D271" s="4"/>
      <c r="E271" s="4"/>
      <c r="J271" s="4"/>
      <c r="K271" s="6"/>
    </row>
    <row r="272" spans="4:11" x14ac:dyDescent="0.3">
      <c r="D272" s="4"/>
      <c r="E272" s="4"/>
      <c r="J272" s="4"/>
      <c r="K272" s="6"/>
    </row>
    <row r="273" spans="4:11" x14ac:dyDescent="0.3">
      <c r="D273" s="4"/>
      <c r="E273" s="4"/>
      <c r="J273" s="4"/>
      <c r="K273" s="6"/>
    </row>
    <row r="274" spans="4:11" x14ac:dyDescent="0.3">
      <c r="D274" s="4"/>
      <c r="E274" s="4"/>
      <c r="J274" s="4"/>
      <c r="K274" s="6"/>
    </row>
    <row r="275" spans="4:11" x14ac:dyDescent="0.3">
      <c r="D275" s="4"/>
      <c r="E275" s="4"/>
      <c r="J275" s="4"/>
      <c r="K275" s="6"/>
    </row>
    <row r="276" spans="4:11" x14ac:dyDescent="0.3">
      <c r="D276" s="4"/>
      <c r="E276" s="4"/>
      <c r="J276" s="4"/>
      <c r="K276" s="6"/>
    </row>
    <row r="277" spans="4:11" x14ac:dyDescent="0.3">
      <c r="D277" s="4"/>
      <c r="E277" s="4"/>
      <c r="J277" s="4"/>
      <c r="K277" s="6"/>
    </row>
    <row r="278" spans="4:11" x14ac:dyDescent="0.3">
      <c r="D278" s="4"/>
      <c r="E278" s="4"/>
      <c r="J278" s="4"/>
      <c r="K278" s="6"/>
    </row>
    <row r="279" spans="4:11" x14ac:dyDescent="0.3">
      <c r="D279" s="4"/>
      <c r="E279" s="4"/>
      <c r="J279" s="4"/>
      <c r="K279" s="6"/>
    </row>
    <row r="280" spans="4:11" x14ac:dyDescent="0.3">
      <c r="D280" s="4"/>
      <c r="E280" s="4"/>
      <c r="J280" s="4"/>
      <c r="K280" s="6"/>
    </row>
    <row r="281" spans="4:11" x14ac:dyDescent="0.3">
      <c r="D281" s="4"/>
      <c r="E281" s="4"/>
      <c r="J281" s="4"/>
      <c r="K281" s="6"/>
    </row>
    <row r="282" spans="4:11" x14ac:dyDescent="0.3">
      <c r="D282" s="4"/>
      <c r="E282" s="4"/>
      <c r="J282" s="4"/>
      <c r="K282" s="6"/>
    </row>
    <row r="283" spans="4:11" x14ac:dyDescent="0.3">
      <c r="D283" s="4"/>
      <c r="E283" s="4"/>
      <c r="J283" s="4"/>
      <c r="K283" s="6"/>
    </row>
    <row r="284" spans="4:11" x14ac:dyDescent="0.3">
      <c r="D284" s="4"/>
      <c r="E284" s="4"/>
      <c r="J284" s="4"/>
      <c r="K284" s="6"/>
    </row>
    <row r="285" spans="4:11" x14ac:dyDescent="0.3">
      <c r="D285" s="4"/>
      <c r="E285" s="4"/>
      <c r="J285" s="4"/>
      <c r="K285" s="6"/>
    </row>
    <row r="286" spans="4:11" x14ac:dyDescent="0.3">
      <c r="D286" s="4"/>
      <c r="E286" s="4"/>
      <c r="J286" s="4"/>
      <c r="K286" s="6"/>
    </row>
    <row r="287" spans="4:11" x14ac:dyDescent="0.3">
      <c r="D287" s="4"/>
      <c r="E287" s="4"/>
      <c r="J287" s="4"/>
      <c r="K287" s="6"/>
    </row>
    <row r="288" spans="4:11" x14ac:dyDescent="0.3">
      <c r="D288" s="4"/>
      <c r="E288" s="4"/>
      <c r="J288" s="4"/>
      <c r="K288" s="6"/>
    </row>
    <row r="289" spans="4:11" x14ac:dyDescent="0.3">
      <c r="D289" s="4"/>
      <c r="E289" s="4"/>
      <c r="J289" s="4"/>
      <c r="K289" s="6"/>
    </row>
    <row r="290" spans="4:11" x14ac:dyDescent="0.3">
      <c r="D290" s="4"/>
      <c r="E290" s="4"/>
      <c r="J290" s="4"/>
      <c r="K290" s="6"/>
    </row>
    <row r="291" spans="4:11" x14ac:dyDescent="0.3">
      <c r="D291" s="4"/>
      <c r="E291" s="4"/>
      <c r="J291" s="4"/>
      <c r="K291" s="6"/>
    </row>
    <row r="292" spans="4:11" x14ac:dyDescent="0.3">
      <c r="D292" s="4"/>
      <c r="E292" s="4"/>
      <c r="J292" s="4"/>
      <c r="K292" s="6"/>
    </row>
    <row r="293" spans="4:11" x14ac:dyDescent="0.3">
      <c r="D293" s="4"/>
      <c r="E293" s="4"/>
      <c r="J293" s="4"/>
      <c r="K293" s="6"/>
    </row>
    <row r="294" spans="4:11" x14ac:dyDescent="0.3">
      <c r="D294" s="4"/>
      <c r="E294" s="4"/>
      <c r="J294" s="4"/>
      <c r="K294" s="6"/>
    </row>
    <row r="295" spans="4:11" x14ac:dyDescent="0.3">
      <c r="D295" s="4"/>
      <c r="E295" s="4"/>
      <c r="J295" s="4"/>
      <c r="K295" s="6"/>
    </row>
    <row r="296" spans="4:11" x14ac:dyDescent="0.3">
      <c r="D296" s="4"/>
      <c r="E296" s="4"/>
      <c r="J296" s="4"/>
      <c r="K296" s="6"/>
    </row>
    <row r="297" spans="4:11" x14ac:dyDescent="0.3">
      <c r="D297" s="4"/>
      <c r="E297" s="4"/>
      <c r="J297" s="4"/>
      <c r="K297" s="6"/>
    </row>
    <row r="298" spans="4:11" x14ac:dyDescent="0.3">
      <c r="D298" s="4"/>
      <c r="E298" s="4"/>
      <c r="J298" s="4"/>
      <c r="K298" s="6"/>
    </row>
    <row r="299" spans="4:11" x14ac:dyDescent="0.3">
      <c r="D299" s="4"/>
      <c r="E299" s="4"/>
      <c r="J299" s="4"/>
      <c r="K299" s="6"/>
    </row>
    <row r="300" spans="4:11" x14ac:dyDescent="0.3">
      <c r="D300" s="4"/>
      <c r="E300" s="4"/>
      <c r="J300" s="4"/>
      <c r="K300" s="6"/>
    </row>
    <row r="301" spans="4:11" x14ac:dyDescent="0.3">
      <c r="D301" s="4"/>
      <c r="E301" s="4"/>
      <c r="J301" s="4"/>
      <c r="K301" s="6"/>
    </row>
    <row r="302" spans="4:11" x14ac:dyDescent="0.3">
      <c r="D302" s="4"/>
      <c r="E302" s="4"/>
      <c r="J302" s="4"/>
      <c r="K302" s="6"/>
    </row>
    <row r="303" spans="4:11" x14ac:dyDescent="0.3">
      <c r="D303" s="4"/>
      <c r="E303" s="4"/>
      <c r="J303" s="4"/>
      <c r="K303" s="6"/>
    </row>
    <row r="304" spans="4:11" x14ac:dyDescent="0.3">
      <c r="D304" s="4"/>
      <c r="E304" s="4"/>
      <c r="J304" s="4"/>
      <c r="K304" s="6"/>
    </row>
    <row r="305" spans="4:11" x14ac:dyDescent="0.3">
      <c r="D305" s="4"/>
      <c r="E305" s="4"/>
      <c r="J305" s="4"/>
      <c r="K305" s="6"/>
    </row>
    <row r="306" spans="4:11" x14ac:dyDescent="0.3">
      <c r="D306" s="4"/>
      <c r="E306" s="4"/>
      <c r="J306" s="4"/>
      <c r="K306" s="6"/>
    </row>
    <row r="307" spans="4:11" x14ac:dyDescent="0.3">
      <c r="D307" s="4"/>
      <c r="E307" s="4"/>
      <c r="J307" s="4"/>
      <c r="K307" s="6"/>
    </row>
    <row r="308" spans="4:11" x14ac:dyDescent="0.3">
      <c r="D308" s="4"/>
      <c r="E308" s="4"/>
      <c r="J308" s="4"/>
      <c r="K308" s="6"/>
    </row>
    <row r="309" spans="4:11" x14ac:dyDescent="0.3">
      <c r="D309" s="4"/>
      <c r="E309" s="4"/>
      <c r="J309" s="4"/>
      <c r="K309" s="6"/>
    </row>
    <row r="310" spans="4:11" x14ac:dyDescent="0.3">
      <c r="D310" s="4"/>
      <c r="E310" s="4"/>
      <c r="J310" s="4"/>
      <c r="K310" s="6"/>
    </row>
    <row r="311" spans="4:11" x14ac:dyDescent="0.3">
      <c r="D311" s="4"/>
      <c r="E311" s="4"/>
      <c r="J311" s="4"/>
      <c r="K311" s="6"/>
    </row>
    <row r="312" spans="4:11" x14ac:dyDescent="0.3">
      <c r="D312" s="4"/>
      <c r="E312" s="4"/>
      <c r="J312" s="4"/>
      <c r="K312" s="6"/>
    </row>
    <row r="313" spans="4:11" x14ac:dyDescent="0.3">
      <c r="D313" s="4"/>
      <c r="E313" s="4"/>
      <c r="J313" s="4"/>
      <c r="K313" s="6"/>
    </row>
    <row r="314" spans="4:11" x14ac:dyDescent="0.3">
      <c r="D314" s="4"/>
      <c r="E314" s="4"/>
      <c r="J314" s="4"/>
      <c r="K314" s="6"/>
    </row>
    <row r="315" spans="4:11" x14ac:dyDescent="0.3">
      <c r="D315" s="4"/>
      <c r="E315" s="4"/>
      <c r="J315" s="4"/>
      <c r="K315" s="6"/>
    </row>
    <row r="316" spans="4:11" x14ac:dyDescent="0.3">
      <c r="D316" s="4"/>
      <c r="E316" s="4"/>
      <c r="J316" s="4"/>
      <c r="K316" s="6"/>
    </row>
    <row r="317" spans="4:11" x14ac:dyDescent="0.3">
      <c r="D317" s="4"/>
      <c r="E317" s="4"/>
      <c r="J317" s="4"/>
      <c r="K317" s="6"/>
    </row>
    <row r="318" spans="4:11" x14ac:dyDescent="0.3">
      <c r="D318" s="4"/>
      <c r="E318" s="4"/>
      <c r="J318" s="4"/>
      <c r="K318" s="6"/>
    </row>
    <row r="319" spans="4:11" x14ac:dyDescent="0.3">
      <c r="D319" s="4"/>
      <c r="E319" s="4"/>
      <c r="J319" s="4"/>
      <c r="K319" s="6"/>
    </row>
    <row r="320" spans="4:11" x14ac:dyDescent="0.3">
      <c r="D320" s="4"/>
      <c r="E320" s="4"/>
      <c r="J320" s="4"/>
      <c r="K320" s="6"/>
    </row>
    <row r="321" spans="4:11" x14ac:dyDescent="0.3">
      <c r="D321" s="4"/>
      <c r="E321" s="4"/>
      <c r="J321" s="4"/>
      <c r="K321" s="6"/>
    </row>
    <row r="322" spans="4:11" x14ac:dyDescent="0.3">
      <c r="D322" s="4"/>
      <c r="E322" s="4"/>
      <c r="J322" s="4"/>
      <c r="K322" s="6"/>
    </row>
    <row r="323" spans="4:11" x14ac:dyDescent="0.3">
      <c r="D323" s="4"/>
      <c r="E323" s="4"/>
      <c r="J323" s="4"/>
      <c r="K323" s="6"/>
    </row>
    <row r="324" spans="4:11" x14ac:dyDescent="0.3">
      <c r="D324" s="4"/>
      <c r="E324" s="4"/>
      <c r="J324" s="4"/>
      <c r="K324" s="6"/>
    </row>
    <row r="325" spans="4:11" x14ac:dyDescent="0.3">
      <c r="D325" s="4"/>
      <c r="E325" s="4"/>
      <c r="J325" s="4"/>
      <c r="K325" s="6"/>
    </row>
    <row r="326" spans="4:11" x14ac:dyDescent="0.3">
      <c r="D326" s="4"/>
      <c r="E326" s="4"/>
      <c r="J326" s="4"/>
      <c r="K326" s="6"/>
    </row>
    <row r="327" spans="4:11" x14ac:dyDescent="0.3">
      <c r="D327" s="4"/>
      <c r="E327" s="4"/>
      <c r="J327" s="4"/>
      <c r="K327" s="6"/>
    </row>
    <row r="328" spans="4:11" x14ac:dyDescent="0.3">
      <c r="D328" s="4"/>
      <c r="E328" s="4"/>
      <c r="J328" s="4"/>
      <c r="K328" s="6"/>
    </row>
    <row r="329" spans="4:11" x14ac:dyDescent="0.3">
      <c r="D329" s="4"/>
      <c r="E329" s="4"/>
      <c r="J329" s="4"/>
      <c r="K329" s="6"/>
    </row>
    <row r="330" spans="4:11" x14ac:dyDescent="0.3">
      <c r="D330" s="4"/>
      <c r="E330" s="4"/>
      <c r="J330" s="4"/>
      <c r="K330" s="6"/>
    </row>
    <row r="331" spans="4:11" x14ac:dyDescent="0.3">
      <c r="D331" s="4"/>
      <c r="E331" s="4"/>
      <c r="J331" s="4"/>
      <c r="K331" s="6"/>
    </row>
    <row r="332" spans="4:11" x14ac:dyDescent="0.3">
      <c r="D332" s="4"/>
      <c r="E332" s="4"/>
      <c r="J332" s="4"/>
      <c r="K332" s="6"/>
    </row>
    <row r="333" spans="4:11" x14ac:dyDescent="0.3">
      <c r="D333" s="4"/>
      <c r="E333" s="4"/>
      <c r="J333" s="4"/>
      <c r="K333" s="6"/>
    </row>
    <row r="334" spans="4:11" x14ac:dyDescent="0.3">
      <c r="D334" s="4"/>
      <c r="E334" s="4"/>
      <c r="J334" s="4"/>
      <c r="K334" s="6"/>
    </row>
    <row r="335" spans="4:11" x14ac:dyDescent="0.3">
      <c r="D335" s="4"/>
      <c r="E335" s="4"/>
      <c r="J335" s="4"/>
      <c r="K335" s="6"/>
    </row>
    <row r="336" spans="4:11" x14ac:dyDescent="0.3">
      <c r="D336" s="4"/>
      <c r="E336" s="4"/>
      <c r="J336" s="4"/>
      <c r="K336" s="6"/>
    </row>
    <row r="337" spans="4:11" x14ac:dyDescent="0.3">
      <c r="D337" s="4"/>
      <c r="E337" s="4"/>
      <c r="J337" s="4"/>
      <c r="K337" s="6"/>
    </row>
    <row r="338" spans="4:11" x14ac:dyDescent="0.3">
      <c r="D338" s="4"/>
      <c r="E338" s="4"/>
      <c r="J338" s="4"/>
      <c r="K338" s="6"/>
    </row>
    <row r="339" spans="4:11" x14ac:dyDescent="0.3">
      <c r="D339" s="4"/>
      <c r="E339" s="4"/>
      <c r="J339" s="4"/>
      <c r="K339" s="6"/>
    </row>
    <row r="340" spans="4:11" x14ac:dyDescent="0.3">
      <c r="D340" s="4"/>
      <c r="E340" s="4"/>
      <c r="J340" s="4"/>
      <c r="K340" s="6"/>
    </row>
    <row r="341" spans="4:11" x14ac:dyDescent="0.3">
      <c r="D341" s="4"/>
      <c r="E341" s="4"/>
      <c r="J341" s="4"/>
      <c r="K341" s="6"/>
    </row>
    <row r="342" spans="4:11" x14ac:dyDescent="0.3">
      <c r="D342" s="4"/>
      <c r="E342" s="4"/>
      <c r="J342" s="4"/>
      <c r="K342" s="6"/>
    </row>
    <row r="343" spans="4:11" x14ac:dyDescent="0.3">
      <c r="D343" s="4"/>
      <c r="E343" s="4"/>
      <c r="J343" s="4"/>
      <c r="K343" s="6"/>
    </row>
    <row r="344" spans="4:11" x14ac:dyDescent="0.3">
      <c r="D344" s="4"/>
      <c r="E344" s="4"/>
      <c r="J344" s="4"/>
      <c r="K344" s="6"/>
    </row>
    <row r="345" spans="4:11" x14ac:dyDescent="0.3">
      <c r="D345" s="4"/>
      <c r="E345" s="4"/>
      <c r="J345" s="4"/>
      <c r="K345" s="6"/>
    </row>
    <row r="346" spans="4:11" x14ac:dyDescent="0.3">
      <c r="D346" s="4"/>
      <c r="E346" s="4"/>
      <c r="J346" s="4"/>
      <c r="K346" s="6"/>
    </row>
    <row r="347" spans="4:11" x14ac:dyDescent="0.3">
      <c r="D347" s="4"/>
      <c r="E347" s="4"/>
      <c r="J347" s="4"/>
      <c r="K347" s="6"/>
    </row>
    <row r="348" spans="4:11" x14ac:dyDescent="0.3">
      <c r="D348" s="4"/>
      <c r="E348" s="4"/>
      <c r="J348" s="4"/>
      <c r="K348" s="6"/>
    </row>
    <row r="349" spans="4:11" x14ac:dyDescent="0.3">
      <c r="D349" s="4"/>
      <c r="E349" s="4"/>
      <c r="J349" s="4"/>
      <c r="K349" s="6"/>
    </row>
    <row r="350" spans="4:11" x14ac:dyDescent="0.3">
      <c r="D350" s="4"/>
      <c r="E350" s="4"/>
      <c r="J350" s="4"/>
      <c r="K350" s="6"/>
    </row>
    <row r="351" spans="4:11" x14ac:dyDescent="0.3">
      <c r="D351" s="4"/>
      <c r="E351" s="4"/>
      <c r="J351" s="4"/>
      <c r="K351" s="6"/>
    </row>
    <row r="352" spans="4:11" x14ac:dyDescent="0.3">
      <c r="D352" s="4"/>
      <c r="E352" s="4"/>
      <c r="J352" s="4"/>
      <c r="K352" s="6"/>
    </row>
    <row r="353" spans="4:11" x14ac:dyDescent="0.3">
      <c r="D353" s="4"/>
      <c r="E353" s="4"/>
      <c r="J353" s="4"/>
      <c r="K353" s="6"/>
    </row>
    <row r="354" spans="4:11" x14ac:dyDescent="0.3">
      <c r="D354" s="4"/>
      <c r="E354" s="4"/>
      <c r="J354" s="4"/>
      <c r="K354" s="6"/>
    </row>
    <row r="355" spans="4:11" x14ac:dyDescent="0.3">
      <c r="D355" s="4"/>
      <c r="E355" s="4"/>
      <c r="J355" s="4"/>
      <c r="K355" s="6"/>
    </row>
    <row r="356" spans="4:11" x14ac:dyDescent="0.3">
      <c r="D356" s="4"/>
      <c r="E356" s="4"/>
      <c r="J356" s="4"/>
      <c r="K356" s="6"/>
    </row>
    <row r="357" spans="4:11" x14ac:dyDescent="0.3">
      <c r="D357" s="4"/>
      <c r="E357" s="4"/>
      <c r="J357" s="4"/>
      <c r="K357" s="6"/>
    </row>
    <row r="358" spans="4:11" x14ac:dyDescent="0.3">
      <c r="D358" s="4"/>
      <c r="E358" s="4"/>
      <c r="J358" s="4"/>
      <c r="K358" s="6"/>
    </row>
    <row r="359" spans="4:11" x14ac:dyDescent="0.3">
      <c r="D359" s="4"/>
      <c r="E359" s="4"/>
      <c r="J359" s="4"/>
      <c r="K359" s="6"/>
    </row>
    <row r="360" spans="4:11" x14ac:dyDescent="0.3">
      <c r="D360" s="4"/>
      <c r="E360" s="4"/>
      <c r="J360" s="4"/>
      <c r="K360" s="6"/>
    </row>
    <row r="361" spans="4:11" x14ac:dyDescent="0.3">
      <c r="D361" s="4"/>
      <c r="E361" s="4"/>
      <c r="J361" s="4"/>
      <c r="K361" s="6"/>
    </row>
    <row r="362" spans="4:11" x14ac:dyDescent="0.3">
      <c r="D362" s="4"/>
      <c r="E362" s="4"/>
      <c r="J362" s="4"/>
      <c r="K362" s="6"/>
    </row>
    <row r="363" spans="4:11" x14ac:dyDescent="0.3">
      <c r="D363" s="4"/>
      <c r="E363" s="4"/>
      <c r="J363" s="4"/>
      <c r="K363" s="6"/>
    </row>
    <row r="364" spans="4:11" x14ac:dyDescent="0.3">
      <c r="D364" s="4"/>
      <c r="E364" s="4"/>
      <c r="J364" s="4"/>
      <c r="K364" s="6"/>
    </row>
    <row r="365" spans="4:11" x14ac:dyDescent="0.3">
      <c r="D365" s="4"/>
      <c r="E365" s="4"/>
      <c r="J365" s="4"/>
      <c r="K365" s="6"/>
    </row>
    <row r="366" spans="4:11" x14ac:dyDescent="0.3">
      <c r="D366" s="4"/>
      <c r="E366" s="4"/>
      <c r="J366" s="4"/>
      <c r="K366" s="6"/>
    </row>
    <row r="367" spans="4:11" x14ac:dyDescent="0.3">
      <c r="D367" s="4"/>
      <c r="E367" s="4"/>
      <c r="J367" s="4"/>
      <c r="K367" s="6"/>
    </row>
    <row r="368" spans="4:11" x14ac:dyDescent="0.3">
      <c r="D368" s="4"/>
      <c r="E368" s="4"/>
      <c r="J368" s="4"/>
      <c r="K368" s="6"/>
    </row>
    <row r="369" spans="4:11" x14ac:dyDescent="0.3">
      <c r="D369" s="4"/>
      <c r="E369" s="4"/>
      <c r="J369" s="4"/>
      <c r="K369" s="6"/>
    </row>
    <row r="370" spans="4:11" x14ac:dyDescent="0.3">
      <c r="D370" s="4"/>
      <c r="E370" s="4"/>
      <c r="J370" s="4"/>
      <c r="K370" s="6"/>
    </row>
    <row r="371" spans="4:11" x14ac:dyDescent="0.3">
      <c r="D371" s="4"/>
      <c r="E371" s="4"/>
      <c r="J371" s="4"/>
      <c r="K371" s="6"/>
    </row>
    <row r="372" spans="4:11" x14ac:dyDescent="0.3">
      <c r="D372" s="4"/>
      <c r="E372" s="4"/>
      <c r="J372" s="4"/>
      <c r="K372" s="6"/>
    </row>
    <row r="373" spans="4:11" x14ac:dyDescent="0.3">
      <c r="D373" s="4"/>
      <c r="E373" s="4"/>
      <c r="J373" s="4"/>
      <c r="K373" s="6"/>
    </row>
    <row r="374" spans="4:11" x14ac:dyDescent="0.3">
      <c r="D374" s="4"/>
      <c r="E374" s="4"/>
      <c r="J374" s="4"/>
      <c r="K374" s="6"/>
    </row>
    <row r="375" spans="4:11" x14ac:dyDescent="0.3">
      <c r="D375" s="4"/>
      <c r="E375" s="4"/>
      <c r="J375" s="4"/>
      <c r="K375" s="6"/>
    </row>
    <row r="376" spans="4:11" x14ac:dyDescent="0.3">
      <c r="D376" s="4"/>
      <c r="E376" s="4"/>
      <c r="J376" s="4"/>
      <c r="K376" s="6"/>
    </row>
    <row r="377" spans="4:11" x14ac:dyDescent="0.3">
      <c r="D377" s="4"/>
      <c r="E377" s="4"/>
      <c r="J377" s="4"/>
      <c r="K377" s="6"/>
    </row>
    <row r="378" spans="4:11" x14ac:dyDescent="0.3">
      <c r="D378" s="4"/>
      <c r="E378" s="4"/>
      <c r="J378" s="4"/>
      <c r="K378" s="6"/>
    </row>
    <row r="379" spans="4:11" x14ac:dyDescent="0.3">
      <c r="D379" s="4"/>
      <c r="E379" s="4"/>
      <c r="J379" s="4"/>
      <c r="K379" s="6"/>
    </row>
    <row r="380" spans="4:11" x14ac:dyDescent="0.3">
      <c r="D380" s="4"/>
      <c r="E380" s="4"/>
      <c r="J380" s="4"/>
      <c r="K380" s="6"/>
    </row>
    <row r="381" spans="4:11" x14ac:dyDescent="0.3">
      <c r="D381" s="4"/>
      <c r="E381" s="4"/>
      <c r="J381" s="4"/>
      <c r="K381" s="6"/>
    </row>
    <row r="382" spans="4:11" x14ac:dyDescent="0.3">
      <c r="D382" s="4"/>
      <c r="E382" s="4"/>
      <c r="J382" s="4"/>
      <c r="K382" s="6"/>
    </row>
    <row r="383" spans="4:11" x14ac:dyDescent="0.3">
      <c r="D383" s="4"/>
      <c r="E383" s="4"/>
      <c r="J383" s="4"/>
      <c r="K383" s="6"/>
    </row>
    <row r="384" spans="4:11" x14ac:dyDescent="0.3">
      <c r="D384" s="4"/>
      <c r="E384" s="4"/>
      <c r="J384" s="4"/>
      <c r="K384" s="6"/>
    </row>
    <row r="385" spans="4:11" x14ac:dyDescent="0.3">
      <c r="D385" s="4"/>
      <c r="E385" s="4"/>
      <c r="J385" s="4"/>
      <c r="K385" s="6"/>
    </row>
    <row r="386" spans="4:11" x14ac:dyDescent="0.3">
      <c r="D386" s="4"/>
      <c r="E386" s="4"/>
      <c r="J386" s="4"/>
      <c r="K386" s="6"/>
    </row>
    <row r="387" spans="4:11" x14ac:dyDescent="0.3">
      <c r="D387" s="4"/>
      <c r="E387" s="4"/>
      <c r="J387" s="4"/>
      <c r="K387" s="6"/>
    </row>
    <row r="388" spans="4:11" x14ac:dyDescent="0.3">
      <c r="D388" s="4"/>
      <c r="E388" s="4"/>
      <c r="J388" s="4"/>
      <c r="K388" s="6"/>
    </row>
    <row r="389" spans="4:11" x14ac:dyDescent="0.3">
      <c r="D389" s="4"/>
      <c r="E389" s="4"/>
      <c r="J389" s="4"/>
      <c r="K389" s="6"/>
    </row>
    <row r="390" spans="4:11" x14ac:dyDescent="0.3">
      <c r="D390" s="4"/>
      <c r="E390" s="4"/>
      <c r="J390" s="4"/>
      <c r="K390" s="6"/>
    </row>
    <row r="391" spans="4:11" x14ac:dyDescent="0.3">
      <c r="D391" s="4"/>
      <c r="E391" s="4"/>
      <c r="J391" s="4"/>
      <c r="K391" s="6"/>
    </row>
    <row r="392" spans="4:11" x14ac:dyDescent="0.3">
      <c r="D392" s="4"/>
      <c r="E392" s="4"/>
      <c r="J392" s="4"/>
      <c r="K392" s="6"/>
    </row>
    <row r="393" spans="4:11" x14ac:dyDescent="0.3">
      <c r="D393" s="4"/>
      <c r="E393" s="4"/>
      <c r="J393" s="4"/>
      <c r="K393" s="6"/>
    </row>
    <row r="394" spans="4:11" x14ac:dyDescent="0.3">
      <c r="D394" s="4"/>
      <c r="E394" s="4"/>
      <c r="J394" s="4"/>
      <c r="K394" s="6"/>
    </row>
    <row r="395" spans="4:11" x14ac:dyDescent="0.3">
      <c r="D395" s="4"/>
      <c r="E395" s="4"/>
      <c r="J395" s="4"/>
      <c r="K395" s="6"/>
    </row>
    <row r="396" spans="4:11" x14ac:dyDescent="0.3">
      <c r="D396" s="4"/>
      <c r="E396" s="4"/>
      <c r="J396" s="4"/>
      <c r="K396" s="6"/>
    </row>
    <row r="397" spans="4:11" x14ac:dyDescent="0.3">
      <c r="D397" s="4"/>
      <c r="E397" s="4"/>
      <c r="J397" s="4"/>
      <c r="K397" s="6"/>
    </row>
    <row r="398" spans="4:11" x14ac:dyDescent="0.3">
      <c r="D398" s="4"/>
      <c r="E398" s="4"/>
      <c r="J398" s="4"/>
      <c r="K398" s="6"/>
    </row>
    <row r="399" spans="4:11" x14ac:dyDescent="0.3">
      <c r="D399" s="4"/>
      <c r="E399" s="4"/>
      <c r="J399" s="4"/>
      <c r="K399" s="6"/>
    </row>
    <row r="400" spans="4:11" x14ac:dyDescent="0.3">
      <c r="D400" s="4"/>
      <c r="E400" s="4"/>
      <c r="J400" s="4"/>
      <c r="K400" s="6"/>
    </row>
    <row r="401" spans="4:11" x14ac:dyDescent="0.3">
      <c r="D401" s="4"/>
      <c r="E401" s="4"/>
      <c r="J401" s="4"/>
      <c r="K401" s="6"/>
    </row>
    <row r="402" spans="4:11" x14ac:dyDescent="0.3">
      <c r="D402" s="4"/>
      <c r="E402" s="4"/>
      <c r="J402" s="4"/>
      <c r="K402" s="6"/>
    </row>
    <row r="403" spans="4:11" x14ac:dyDescent="0.3">
      <c r="D403" s="4"/>
      <c r="E403" s="4"/>
      <c r="J403" s="4"/>
      <c r="K403" s="6"/>
    </row>
    <row r="404" spans="4:11" x14ac:dyDescent="0.3">
      <c r="D404" s="4"/>
      <c r="E404" s="4"/>
      <c r="J404" s="4"/>
      <c r="K404" s="6"/>
    </row>
    <row r="405" spans="4:11" x14ac:dyDescent="0.3">
      <c r="D405" s="4"/>
      <c r="E405" s="4"/>
      <c r="J405" s="4"/>
      <c r="K405" s="6"/>
    </row>
    <row r="406" spans="4:11" x14ac:dyDescent="0.3">
      <c r="D406" s="4"/>
      <c r="E406" s="4"/>
      <c r="J406" s="4"/>
      <c r="K406" s="6"/>
    </row>
    <row r="407" spans="4:11" x14ac:dyDescent="0.3">
      <c r="D407" s="4"/>
      <c r="E407" s="4"/>
      <c r="J407" s="4"/>
      <c r="K407" s="6"/>
    </row>
    <row r="408" spans="4:11" x14ac:dyDescent="0.3">
      <c r="D408" s="4"/>
      <c r="E408" s="4"/>
      <c r="J408" s="4"/>
      <c r="K408" s="6"/>
    </row>
    <row r="409" spans="4:11" x14ac:dyDescent="0.3">
      <c r="D409" s="4"/>
      <c r="E409" s="4"/>
      <c r="J409" s="4"/>
      <c r="K409" s="6"/>
    </row>
    <row r="410" spans="4:11" x14ac:dyDescent="0.3">
      <c r="D410" s="4"/>
      <c r="E410" s="4"/>
      <c r="J410" s="4"/>
      <c r="K410" s="6"/>
    </row>
    <row r="411" spans="4:11" x14ac:dyDescent="0.3">
      <c r="D411" s="4"/>
      <c r="E411" s="4"/>
      <c r="J411" s="4"/>
      <c r="K411" s="6"/>
    </row>
    <row r="412" spans="4:11" x14ac:dyDescent="0.3">
      <c r="D412" s="4"/>
      <c r="E412" s="4"/>
      <c r="J412" s="4"/>
      <c r="K412" s="6"/>
    </row>
    <row r="413" spans="4:11" x14ac:dyDescent="0.3">
      <c r="D413" s="4"/>
      <c r="E413" s="4"/>
      <c r="J413" s="4"/>
      <c r="K413" s="6"/>
    </row>
    <row r="414" spans="4:11" x14ac:dyDescent="0.3">
      <c r="D414" s="4"/>
      <c r="E414" s="4"/>
      <c r="J414" s="4"/>
      <c r="K414" s="6"/>
    </row>
    <row r="415" spans="4:11" x14ac:dyDescent="0.3">
      <c r="D415" s="4"/>
      <c r="E415" s="4"/>
      <c r="J415" s="4"/>
      <c r="K415" s="6"/>
    </row>
    <row r="416" spans="4:11" x14ac:dyDescent="0.3">
      <c r="D416" s="4"/>
      <c r="E416" s="4"/>
      <c r="J416" s="4"/>
      <c r="K416" s="6"/>
    </row>
    <row r="417" spans="4:11" x14ac:dyDescent="0.3">
      <c r="D417" s="4"/>
      <c r="E417" s="4"/>
      <c r="J417" s="4"/>
      <c r="K417" s="6"/>
    </row>
    <row r="418" spans="4:11" x14ac:dyDescent="0.3">
      <c r="D418" s="4"/>
      <c r="E418" s="4"/>
      <c r="J418" s="4"/>
      <c r="K418" s="6"/>
    </row>
    <row r="419" spans="4:11" x14ac:dyDescent="0.3">
      <c r="D419" s="4"/>
      <c r="E419" s="4"/>
      <c r="J419" s="4"/>
      <c r="K419" s="6"/>
    </row>
    <row r="420" spans="4:11" x14ac:dyDescent="0.3">
      <c r="D420" s="4"/>
      <c r="E420" s="4"/>
      <c r="J420" s="4"/>
      <c r="K420" s="6"/>
    </row>
    <row r="421" spans="4:11" x14ac:dyDescent="0.3">
      <c r="D421" s="4"/>
      <c r="E421" s="4"/>
      <c r="J421" s="4"/>
      <c r="K421" s="6"/>
    </row>
    <row r="422" spans="4:11" x14ac:dyDescent="0.3">
      <c r="D422" s="4"/>
      <c r="E422" s="4"/>
      <c r="J422" s="4"/>
      <c r="K422" s="6"/>
    </row>
    <row r="423" spans="4:11" x14ac:dyDescent="0.3">
      <c r="D423" s="4"/>
      <c r="E423" s="4"/>
      <c r="J423" s="4"/>
      <c r="K423" s="6"/>
    </row>
    <row r="424" spans="4:11" x14ac:dyDescent="0.3">
      <c r="D424" s="4"/>
      <c r="E424" s="4"/>
      <c r="J424" s="4"/>
      <c r="K424" s="6"/>
    </row>
    <row r="425" spans="4:11" x14ac:dyDescent="0.3">
      <c r="D425" s="4"/>
      <c r="E425" s="4"/>
      <c r="J425" s="4"/>
      <c r="K425" s="6"/>
    </row>
    <row r="426" spans="4:11" x14ac:dyDescent="0.3">
      <c r="D426" s="4"/>
      <c r="E426" s="4"/>
      <c r="J426" s="4"/>
      <c r="K426" s="6"/>
    </row>
    <row r="427" spans="4:11" x14ac:dyDescent="0.3">
      <c r="D427" s="4"/>
      <c r="E427" s="4"/>
      <c r="J427" s="4"/>
      <c r="K427" s="6"/>
    </row>
    <row r="428" spans="4:11" x14ac:dyDescent="0.3">
      <c r="D428" s="4"/>
      <c r="E428" s="4"/>
      <c r="J428" s="4"/>
      <c r="K428" s="6"/>
    </row>
    <row r="429" spans="4:11" x14ac:dyDescent="0.3">
      <c r="D429" s="4"/>
      <c r="E429" s="4"/>
      <c r="J429" s="4"/>
      <c r="K429" s="6"/>
    </row>
    <row r="430" spans="4:11" x14ac:dyDescent="0.3">
      <c r="D430" s="4"/>
      <c r="E430" s="4"/>
      <c r="J430" s="4"/>
      <c r="K430" s="6"/>
    </row>
    <row r="431" spans="4:11" x14ac:dyDescent="0.3">
      <c r="D431" s="4"/>
      <c r="E431" s="4"/>
      <c r="J431" s="4"/>
      <c r="K431" s="6"/>
    </row>
    <row r="432" spans="4:11" x14ac:dyDescent="0.3">
      <c r="D432" s="4"/>
      <c r="E432" s="4"/>
      <c r="J432" s="4"/>
      <c r="K432" s="6"/>
    </row>
    <row r="433" spans="4:11" x14ac:dyDescent="0.3">
      <c r="D433" s="4"/>
      <c r="E433" s="4"/>
      <c r="J433" s="4"/>
      <c r="K433" s="6"/>
    </row>
    <row r="434" spans="4:11" x14ac:dyDescent="0.3">
      <c r="D434" s="4"/>
      <c r="E434" s="4"/>
      <c r="J434" s="4"/>
      <c r="K434" s="6"/>
    </row>
    <row r="435" spans="4:11" x14ac:dyDescent="0.3">
      <c r="D435" s="4"/>
      <c r="E435" s="4"/>
      <c r="J435" s="4"/>
      <c r="K435" s="6"/>
    </row>
    <row r="436" spans="4:11" x14ac:dyDescent="0.3">
      <c r="D436" s="4"/>
      <c r="E436" s="4"/>
      <c r="J436" s="4"/>
      <c r="K436" s="6"/>
    </row>
    <row r="437" spans="4:11" x14ac:dyDescent="0.3">
      <c r="D437" s="4"/>
      <c r="E437" s="4"/>
      <c r="J437" s="4"/>
      <c r="K437" s="6"/>
    </row>
    <row r="438" spans="4:11" x14ac:dyDescent="0.3">
      <c r="D438" s="4"/>
      <c r="E438" s="4"/>
      <c r="J438" s="4"/>
      <c r="K438" s="6"/>
    </row>
    <row r="439" spans="4:11" x14ac:dyDescent="0.3">
      <c r="D439" s="4"/>
      <c r="E439" s="4"/>
      <c r="J439" s="4"/>
      <c r="K439" s="6"/>
    </row>
    <row r="440" spans="4:11" x14ac:dyDescent="0.3">
      <c r="D440" s="4"/>
      <c r="E440" s="4"/>
      <c r="J440" s="4"/>
      <c r="K440" s="6"/>
    </row>
    <row r="441" spans="4:11" x14ac:dyDescent="0.3">
      <c r="D441" s="4"/>
      <c r="E441" s="4"/>
      <c r="J441" s="4"/>
      <c r="K441" s="6"/>
    </row>
    <row r="442" spans="4:11" x14ac:dyDescent="0.3">
      <c r="D442" s="4"/>
      <c r="E442" s="4"/>
      <c r="J442" s="4"/>
      <c r="K442" s="6"/>
    </row>
    <row r="443" spans="4:11" x14ac:dyDescent="0.3">
      <c r="D443" s="4"/>
      <c r="E443" s="4"/>
      <c r="J443" s="4"/>
      <c r="K443" s="6"/>
    </row>
    <row r="444" spans="4:11" x14ac:dyDescent="0.3">
      <c r="D444" s="4"/>
      <c r="E444" s="4"/>
      <c r="J444" s="4"/>
      <c r="K444" s="6"/>
    </row>
    <row r="445" spans="4:11" x14ac:dyDescent="0.3">
      <c r="D445" s="4"/>
      <c r="E445" s="4"/>
      <c r="J445" s="4"/>
      <c r="K445" s="6"/>
    </row>
    <row r="446" spans="4:11" x14ac:dyDescent="0.3">
      <c r="D446" s="4"/>
      <c r="E446" s="4"/>
      <c r="J446" s="4"/>
      <c r="K446" s="6"/>
    </row>
    <row r="447" spans="4:11" x14ac:dyDescent="0.3">
      <c r="D447" s="4"/>
      <c r="E447" s="4"/>
      <c r="J447" s="4"/>
      <c r="K447" s="6"/>
    </row>
    <row r="448" spans="4:11" x14ac:dyDescent="0.3">
      <c r="D448" s="4"/>
      <c r="E448" s="4"/>
      <c r="J448" s="4"/>
      <c r="K448" s="6"/>
    </row>
    <row r="449" spans="4:11" x14ac:dyDescent="0.3">
      <c r="D449" s="4"/>
      <c r="E449" s="4"/>
      <c r="J449" s="4"/>
      <c r="K449" s="6"/>
    </row>
    <row r="450" spans="4:11" x14ac:dyDescent="0.3">
      <c r="D450" s="4"/>
      <c r="E450" s="4"/>
      <c r="J450" s="4"/>
      <c r="K450" s="6"/>
    </row>
    <row r="451" spans="4:11" x14ac:dyDescent="0.3">
      <c r="D451" s="4"/>
      <c r="E451" s="4"/>
      <c r="J451" s="4"/>
      <c r="K451" s="6"/>
    </row>
    <row r="452" spans="4:11" x14ac:dyDescent="0.3">
      <c r="D452" s="4"/>
      <c r="E452" s="4"/>
      <c r="J452" s="4"/>
      <c r="K452" s="6"/>
    </row>
    <row r="453" spans="4:11" x14ac:dyDescent="0.3">
      <c r="D453" s="4"/>
      <c r="E453" s="4"/>
      <c r="J453" s="4"/>
      <c r="K453" s="6"/>
    </row>
    <row r="454" spans="4:11" x14ac:dyDescent="0.3">
      <c r="D454" s="4"/>
      <c r="E454" s="4"/>
      <c r="J454" s="4"/>
      <c r="K454" s="6"/>
    </row>
    <row r="455" spans="4:11" x14ac:dyDescent="0.3">
      <c r="D455" s="4"/>
      <c r="E455" s="4"/>
      <c r="J455" s="4"/>
      <c r="K455" s="6"/>
    </row>
    <row r="456" spans="4:11" x14ac:dyDescent="0.3">
      <c r="D456" s="4"/>
      <c r="E456" s="4"/>
      <c r="J456" s="4"/>
      <c r="K456" s="6"/>
    </row>
    <row r="457" spans="4:11" x14ac:dyDescent="0.3">
      <c r="D457" s="4"/>
      <c r="E457" s="4"/>
      <c r="J457" s="4"/>
      <c r="K457" s="6"/>
    </row>
    <row r="458" spans="4:11" x14ac:dyDescent="0.3">
      <c r="D458" s="4"/>
      <c r="E458" s="4"/>
      <c r="J458" s="4"/>
      <c r="K458" s="6"/>
    </row>
    <row r="459" spans="4:11" x14ac:dyDescent="0.3">
      <c r="D459" s="4"/>
      <c r="E459" s="4"/>
      <c r="J459" s="4"/>
      <c r="K459" s="6"/>
    </row>
    <row r="460" spans="4:11" x14ac:dyDescent="0.3">
      <c r="D460" s="4"/>
      <c r="E460" s="4"/>
      <c r="J460" s="4"/>
      <c r="K460" s="6"/>
    </row>
    <row r="461" spans="4:11" x14ac:dyDescent="0.3">
      <c r="D461" s="4"/>
      <c r="E461" s="4"/>
      <c r="J461" s="4"/>
      <c r="K461" s="6"/>
    </row>
    <row r="462" spans="4:11" x14ac:dyDescent="0.3">
      <c r="D462" s="4"/>
      <c r="E462" s="4"/>
      <c r="J462" s="4"/>
      <c r="K462" s="6"/>
    </row>
    <row r="463" spans="4:11" x14ac:dyDescent="0.3">
      <c r="D463" s="4"/>
      <c r="E463" s="4"/>
      <c r="J463" s="4"/>
      <c r="K463" s="6"/>
    </row>
    <row r="464" spans="4:11" x14ac:dyDescent="0.3">
      <c r="D464" s="4"/>
      <c r="E464" s="4"/>
      <c r="J464" s="4"/>
      <c r="K464" s="6"/>
    </row>
    <row r="465" spans="4:11" x14ac:dyDescent="0.3">
      <c r="D465" s="4"/>
      <c r="E465" s="4"/>
      <c r="J465" s="4"/>
      <c r="K465" s="6"/>
    </row>
    <row r="466" spans="4:11" x14ac:dyDescent="0.3">
      <c r="D466" s="4"/>
      <c r="E466" s="4"/>
      <c r="J466" s="4"/>
      <c r="K466" s="6"/>
    </row>
    <row r="467" spans="4:11" x14ac:dyDescent="0.3">
      <c r="D467" s="4"/>
      <c r="E467" s="4"/>
      <c r="J467" s="4"/>
      <c r="K467" s="6"/>
    </row>
    <row r="468" spans="4:11" x14ac:dyDescent="0.3">
      <c r="D468" s="4"/>
      <c r="E468" s="4"/>
      <c r="J468" s="4"/>
      <c r="K468" s="6"/>
    </row>
    <row r="469" spans="4:11" x14ac:dyDescent="0.3">
      <c r="D469" s="4"/>
      <c r="E469" s="4"/>
      <c r="J469" s="4"/>
      <c r="K469" s="6"/>
    </row>
    <row r="470" spans="4:11" x14ac:dyDescent="0.3">
      <c r="D470" s="4"/>
      <c r="E470" s="4"/>
      <c r="J470" s="4"/>
      <c r="K470" s="6"/>
    </row>
    <row r="471" spans="4:11" x14ac:dyDescent="0.3">
      <c r="D471" s="4"/>
      <c r="E471" s="4"/>
      <c r="J471" s="4"/>
      <c r="K471" s="6"/>
    </row>
    <row r="472" spans="4:11" x14ac:dyDescent="0.3">
      <c r="D472" s="4"/>
      <c r="E472" s="4"/>
      <c r="J472" s="4"/>
      <c r="K472" s="6"/>
    </row>
    <row r="473" spans="4:11" x14ac:dyDescent="0.3">
      <c r="D473" s="4"/>
      <c r="E473" s="4"/>
      <c r="J473" s="4"/>
      <c r="K473" s="6"/>
    </row>
    <row r="474" spans="4:11" x14ac:dyDescent="0.3">
      <c r="D474" s="4"/>
      <c r="E474" s="4"/>
      <c r="J474" s="4"/>
      <c r="K474" s="6"/>
    </row>
    <row r="475" spans="4:11" x14ac:dyDescent="0.3">
      <c r="D475" s="4"/>
      <c r="E475" s="4"/>
      <c r="J475" s="4"/>
      <c r="K475" s="6"/>
    </row>
    <row r="476" spans="4:11" x14ac:dyDescent="0.3">
      <c r="D476" s="4"/>
      <c r="E476" s="4"/>
      <c r="J476" s="4"/>
      <c r="K476" s="6"/>
    </row>
    <row r="477" spans="4:11" x14ac:dyDescent="0.3">
      <c r="D477" s="4"/>
      <c r="E477" s="4"/>
      <c r="J477" s="4"/>
      <c r="K477" s="6"/>
    </row>
    <row r="478" spans="4:11" x14ac:dyDescent="0.3">
      <c r="D478" s="4"/>
      <c r="E478" s="4"/>
      <c r="J478" s="4"/>
      <c r="K478" s="6"/>
    </row>
    <row r="479" spans="4:11" x14ac:dyDescent="0.3">
      <c r="D479" s="4"/>
      <c r="E479" s="4"/>
      <c r="J479" s="4"/>
      <c r="K479" s="6"/>
    </row>
    <row r="480" spans="4:11" x14ac:dyDescent="0.3">
      <c r="D480" s="4"/>
      <c r="E480" s="4"/>
      <c r="J480" s="4"/>
      <c r="K480" s="6"/>
    </row>
    <row r="481" spans="4:11" x14ac:dyDescent="0.3">
      <c r="D481" s="4"/>
      <c r="E481" s="4"/>
      <c r="J481" s="4"/>
      <c r="K481" s="6"/>
    </row>
    <row r="482" spans="4:11" x14ac:dyDescent="0.3">
      <c r="D482" s="4"/>
      <c r="E482" s="4"/>
      <c r="J482" s="4"/>
      <c r="K482" s="6"/>
    </row>
    <row r="483" spans="4:11" x14ac:dyDescent="0.3">
      <c r="D483" s="4"/>
      <c r="E483" s="4"/>
      <c r="J483" s="4"/>
      <c r="K483" s="6"/>
    </row>
    <row r="484" spans="4:11" x14ac:dyDescent="0.3">
      <c r="D484" s="4"/>
      <c r="E484" s="4"/>
      <c r="J484" s="4"/>
      <c r="K484" s="6"/>
    </row>
    <row r="485" spans="4:11" x14ac:dyDescent="0.3">
      <c r="D485" s="4"/>
      <c r="E485" s="4"/>
      <c r="J485" s="4"/>
      <c r="K485" s="6"/>
    </row>
    <row r="486" spans="4:11" x14ac:dyDescent="0.3">
      <c r="D486" s="4"/>
      <c r="E486" s="4"/>
      <c r="J486" s="4"/>
      <c r="K486" s="6"/>
    </row>
    <row r="487" spans="4:11" x14ac:dyDescent="0.3">
      <c r="D487" s="4"/>
      <c r="E487" s="4"/>
      <c r="J487" s="4"/>
      <c r="K487" s="6"/>
    </row>
    <row r="488" spans="4:11" x14ac:dyDescent="0.3">
      <c r="D488" s="4"/>
      <c r="E488" s="4"/>
      <c r="J488" s="4"/>
      <c r="K488" s="6"/>
    </row>
    <row r="489" spans="4:11" x14ac:dyDescent="0.3">
      <c r="D489" s="4"/>
      <c r="E489" s="4"/>
      <c r="J489" s="4"/>
      <c r="K489" s="6"/>
    </row>
    <row r="490" spans="4:11" x14ac:dyDescent="0.3">
      <c r="D490" s="4"/>
      <c r="E490" s="4"/>
      <c r="J490" s="4"/>
      <c r="K490" s="6"/>
    </row>
    <row r="491" spans="4:11" x14ac:dyDescent="0.3">
      <c r="D491" s="4"/>
      <c r="E491" s="4"/>
      <c r="J491" s="4"/>
      <c r="K491" s="6"/>
    </row>
    <row r="492" spans="4:11" x14ac:dyDescent="0.3">
      <c r="D492" s="4"/>
      <c r="E492" s="4"/>
      <c r="J492" s="4"/>
      <c r="K492" s="6"/>
    </row>
    <row r="493" spans="4:11" x14ac:dyDescent="0.3">
      <c r="D493" s="4"/>
      <c r="E493" s="4"/>
      <c r="J493" s="4"/>
      <c r="K493" s="6"/>
    </row>
    <row r="494" spans="4:11" x14ac:dyDescent="0.3">
      <c r="D494" s="4"/>
      <c r="E494" s="4"/>
      <c r="J494" s="4"/>
      <c r="K494" s="6"/>
    </row>
    <row r="495" spans="4:11" x14ac:dyDescent="0.3">
      <c r="D495" s="4"/>
      <c r="E495" s="4"/>
      <c r="J495" s="4"/>
      <c r="K495" s="6"/>
    </row>
    <row r="496" spans="4:11" x14ac:dyDescent="0.3">
      <c r="D496" s="4"/>
      <c r="E496" s="4"/>
      <c r="J496" s="4"/>
      <c r="K496" s="6"/>
    </row>
    <row r="497" spans="1:11" x14ac:dyDescent="0.3">
      <c r="D497" s="4"/>
      <c r="E497" s="4"/>
      <c r="J497" s="4"/>
      <c r="K497" s="6"/>
    </row>
    <row r="498" spans="1:11" x14ac:dyDescent="0.3">
      <c r="D498" s="4"/>
      <c r="E498" s="4"/>
      <c r="J498" s="4"/>
      <c r="K498" s="6"/>
    </row>
    <row r="499" spans="1:11" x14ac:dyDescent="0.3">
      <c r="D499" s="4"/>
      <c r="E499" s="4"/>
      <c r="J499" s="4"/>
      <c r="K499" s="6"/>
    </row>
    <row r="500" spans="1:11" x14ac:dyDescent="0.3">
      <c r="D500" s="4"/>
      <c r="E500" s="4"/>
      <c r="J500" s="4"/>
      <c r="K500" s="6"/>
    </row>
    <row r="501" spans="1:11" x14ac:dyDescent="0.3">
      <c r="D501" s="4"/>
      <c r="E501" s="4"/>
      <c r="J501" s="4"/>
      <c r="K501" s="6"/>
    </row>
    <row r="502" spans="1:11" x14ac:dyDescent="0.3">
      <c r="D502" s="4"/>
      <c r="E502" s="4"/>
      <c r="J502" s="4"/>
      <c r="K502" s="6"/>
    </row>
    <row r="503" spans="1:11" x14ac:dyDescent="0.3">
      <c r="D503" s="4"/>
      <c r="E503" s="4"/>
      <c r="J503" s="4"/>
      <c r="K503" s="6"/>
    </row>
    <row r="504" spans="1:11" x14ac:dyDescent="0.3">
      <c r="D504" s="4"/>
      <c r="E504" s="4"/>
      <c r="J504" s="4"/>
      <c r="K504" s="6"/>
    </row>
    <row r="505" spans="1:11" x14ac:dyDescent="0.3">
      <c r="D505" s="4"/>
      <c r="E505" s="4"/>
      <c r="J505" s="4"/>
      <c r="K505" s="6"/>
    </row>
    <row r="506" spans="1:11" x14ac:dyDescent="0.3">
      <c r="D506" s="4"/>
      <c r="E506" s="4"/>
      <c r="J506" s="4"/>
      <c r="K506" s="6"/>
    </row>
    <row r="507" spans="1:11" x14ac:dyDescent="0.3">
      <c r="D507" s="4"/>
      <c r="E507" s="4"/>
      <c r="G507" s="12"/>
      <c r="H507" s="12"/>
      <c r="I507" s="4"/>
      <c r="J507" s="6"/>
    </row>
    <row r="508" spans="1:11" x14ac:dyDescent="0.3">
      <c r="D508" s="4"/>
      <c r="E508" s="4"/>
      <c r="G508" s="12"/>
      <c r="H508" s="12"/>
      <c r="I508" s="4"/>
      <c r="J508" s="6"/>
    </row>
    <row r="509" spans="1:11" x14ac:dyDescent="0.3">
      <c r="D509" s="4"/>
      <c r="E509" s="4"/>
      <c r="G509" s="12"/>
      <c r="H509" s="12"/>
      <c r="I509" s="4"/>
      <c r="J509" s="6"/>
    </row>
    <row r="510" spans="1:11" x14ac:dyDescent="0.3">
      <c r="D510" s="4"/>
      <c r="E510" s="4"/>
      <c r="G510" s="12"/>
      <c r="H510" s="12"/>
      <c r="I510" s="4"/>
      <c r="J510" s="6"/>
    </row>
    <row r="511" spans="1:11" x14ac:dyDescent="0.3">
      <c r="D511" s="4"/>
      <c r="E511" s="4"/>
      <c r="G511" s="12"/>
      <c r="H511" s="12"/>
      <c r="I511" s="4"/>
      <c r="J511" s="6"/>
    </row>
    <row r="512" spans="1:11" x14ac:dyDescent="0.3">
      <c r="A512" s="7"/>
      <c r="B512" s="7"/>
      <c r="C512" s="7"/>
      <c r="D512" s="8"/>
      <c r="E512" s="8"/>
      <c r="F512" s="7"/>
      <c r="G512" s="12"/>
      <c r="H512" s="12"/>
      <c r="I512" s="8"/>
      <c r="J512" s="11"/>
    </row>
    <row r="513" spans="4:10" x14ac:dyDescent="0.3">
      <c r="D513" s="4"/>
      <c r="E513" s="4"/>
      <c r="G513" s="12"/>
      <c r="H513" s="12"/>
      <c r="I513" s="4"/>
      <c r="J513" s="6"/>
    </row>
    <row r="514" spans="4:10" x14ac:dyDescent="0.3">
      <c r="D514" s="4"/>
      <c r="E514" s="4"/>
      <c r="G514" s="12"/>
      <c r="H514" s="12"/>
      <c r="I514" s="4"/>
      <c r="J514" s="6"/>
    </row>
    <row r="515" spans="4:10" x14ac:dyDescent="0.3">
      <c r="D515" s="4"/>
      <c r="E515" s="4"/>
      <c r="G515" s="12"/>
      <c r="H515" s="12"/>
      <c r="I515" s="4"/>
      <c r="J515" s="6"/>
    </row>
    <row r="516" spans="4:10" x14ac:dyDescent="0.3">
      <c r="D516" s="4"/>
      <c r="E516" s="4"/>
      <c r="G516" s="12"/>
      <c r="H516" s="12"/>
      <c r="I516" s="4"/>
      <c r="J516" s="6"/>
    </row>
    <row r="517" spans="4:10" x14ac:dyDescent="0.3">
      <c r="D517" s="4"/>
      <c r="E517" s="4"/>
      <c r="G517" s="12"/>
      <c r="H517" s="12"/>
      <c r="I517" s="4"/>
      <c r="J517" s="6"/>
    </row>
    <row r="518" spans="4:10" x14ac:dyDescent="0.3">
      <c r="D518" s="4"/>
      <c r="E518" s="4"/>
      <c r="G518" s="12"/>
      <c r="H518" s="12"/>
      <c r="I518" s="4"/>
      <c r="J518" s="6"/>
    </row>
    <row r="519" spans="4:10" x14ac:dyDescent="0.3">
      <c r="D519" s="4"/>
      <c r="E519" s="4"/>
      <c r="G519" s="12"/>
      <c r="H519" s="12"/>
      <c r="I519" s="4"/>
      <c r="J519" s="6"/>
    </row>
    <row r="520" spans="4:10" x14ac:dyDescent="0.3">
      <c r="D520" s="4"/>
      <c r="E520" s="4"/>
      <c r="G520" s="12"/>
      <c r="H520" s="12"/>
      <c r="I520" s="4"/>
      <c r="J520" s="6"/>
    </row>
    <row r="521" spans="4:10" x14ac:dyDescent="0.3">
      <c r="D521" s="4"/>
      <c r="E521" s="4"/>
      <c r="G521" s="12"/>
      <c r="H521" s="12"/>
      <c r="I521" s="4"/>
      <c r="J521" s="6"/>
    </row>
    <row r="522" spans="4:10" x14ac:dyDescent="0.3">
      <c r="D522" s="4"/>
      <c r="E522" s="4"/>
      <c r="G522" s="12"/>
      <c r="H522" s="12"/>
      <c r="I522" s="4"/>
      <c r="J522" s="6"/>
    </row>
    <row r="523" spans="4:10" x14ac:dyDescent="0.3">
      <c r="D523" s="4"/>
      <c r="E523" s="4"/>
      <c r="G523" s="12"/>
      <c r="H523" s="12"/>
      <c r="I523" s="4"/>
      <c r="J523" s="6"/>
    </row>
    <row r="524" spans="4:10" x14ac:dyDescent="0.3">
      <c r="D524" s="4"/>
      <c r="E524" s="4"/>
      <c r="G524" s="9"/>
      <c r="H524" s="9"/>
      <c r="I524" s="4"/>
      <c r="J524" s="6"/>
    </row>
    <row r="525" spans="4:10" x14ac:dyDescent="0.3">
      <c r="D525" s="4"/>
      <c r="E525" s="4"/>
      <c r="G525" s="9"/>
      <c r="H525" s="9"/>
      <c r="I525" s="4"/>
      <c r="J525" s="6"/>
    </row>
    <row r="526" spans="4:10" x14ac:dyDescent="0.3">
      <c r="D526" s="4"/>
      <c r="E526" s="4"/>
      <c r="G526" s="9"/>
      <c r="H526" s="9"/>
      <c r="I526" s="4"/>
      <c r="J526" s="6"/>
    </row>
    <row r="527" spans="4:10" x14ac:dyDescent="0.3">
      <c r="D527" s="4"/>
      <c r="E527" s="4"/>
      <c r="G527" s="9"/>
      <c r="H527" s="9"/>
      <c r="I527" s="4"/>
      <c r="J527" s="6"/>
    </row>
    <row r="528" spans="4:10" x14ac:dyDescent="0.3">
      <c r="D528" s="4"/>
      <c r="E528" s="4"/>
      <c r="G528" s="9"/>
      <c r="H528" s="9"/>
      <c r="I528" s="4"/>
      <c r="J528" s="6"/>
    </row>
    <row r="529" spans="4:10" x14ac:dyDescent="0.3">
      <c r="D529" s="4"/>
      <c r="E529" s="4"/>
      <c r="G529" s="9"/>
      <c r="H529" s="9"/>
      <c r="I529" s="4"/>
      <c r="J529" s="6"/>
    </row>
    <row r="530" spans="4:10" x14ac:dyDescent="0.3">
      <c r="G530" s="9"/>
      <c r="H530" s="9"/>
      <c r="I530" s="4"/>
      <c r="J530" s="6"/>
    </row>
    <row r="531" spans="4:10" x14ac:dyDescent="0.3">
      <c r="G531" s="9"/>
      <c r="H531" s="9"/>
      <c r="I531" s="4"/>
      <c r="J531" s="6"/>
    </row>
    <row r="532" spans="4:10" x14ac:dyDescent="0.3">
      <c r="G532" s="9"/>
      <c r="H532" s="9"/>
      <c r="I532" s="4"/>
      <c r="J532" s="6"/>
    </row>
    <row r="533" spans="4:10" x14ac:dyDescent="0.3">
      <c r="G533" s="9"/>
      <c r="H533" s="9"/>
      <c r="I533" s="4"/>
      <c r="J533" s="6"/>
    </row>
    <row r="534" spans="4:10" x14ac:dyDescent="0.3">
      <c r="G534" s="9"/>
      <c r="H534" s="9"/>
      <c r="I534" s="4"/>
      <c r="J534" s="6"/>
    </row>
    <row r="535" spans="4:10" x14ac:dyDescent="0.3">
      <c r="G535" s="9"/>
      <c r="H535" s="9"/>
      <c r="I535" s="4"/>
      <c r="J535" s="6"/>
    </row>
    <row r="536" spans="4:10" x14ac:dyDescent="0.3">
      <c r="G536" s="9"/>
      <c r="H536" s="9"/>
      <c r="I536" s="4"/>
      <c r="J536" s="6"/>
    </row>
    <row r="537" spans="4:10" x14ac:dyDescent="0.3">
      <c r="G537" s="9"/>
      <c r="H537" s="9"/>
      <c r="I537" s="4"/>
      <c r="J537" s="6"/>
    </row>
    <row r="538" spans="4:10" x14ac:dyDescent="0.3">
      <c r="G538" s="9"/>
      <c r="H538" s="9"/>
      <c r="I538" s="4"/>
      <c r="J538" s="6"/>
    </row>
    <row r="539" spans="4:10" x14ac:dyDescent="0.3">
      <c r="G539" s="9"/>
      <c r="H539" s="9"/>
      <c r="I539" s="4"/>
      <c r="J539" s="6"/>
    </row>
    <row r="540" spans="4:10" x14ac:dyDescent="0.3">
      <c r="G540" s="9"/>
      <c r="H540" s="9"/>
      <c r="I540" s="4"/>
      <c r="J540" s="6"/>
    </row>
    <row r="541" spans="4:10" x14ac:dyDescent="0.3">
      <c r="G541" s="9"/>
      <c r="H541" s="9"/>
      <c r="I541" s="4"/>
      <c r="J541" s="6"/>
    </row>
    <row r="542" spans="4:10" x14ac:dyDescent="0.3">
      <c r="G542" s="9"/>
      <c r="H542" s="9"/>
      <c r="I542" s="4"/>
      <c r="J542" s="6"/>
    </row>
    <row r="543" spans="4:10" x14ac:dyDescent="0.3">
      <c r="I543" s="4"/>
      <c r="J543" s="6"/>
    </row>
    <row r="544" spans="4:10" x14ac:dyDescent="0.3">
      <c r="I544" s="4"/>
      <c r="J544" s="6"/>
    </row>
    <row r="545" spans="4:10" x14ac:dyDescent="0.3">
      <c r="I545" s="4"/>
      <c r="J545" s="6"/>
    </row>
    <row r="546" spans="4:10" x14ac:dyDescent="0.3">
      <c r="D546" s="4"/>
      <c r="I546" s="4"/>
      <c r="J546" s="6"/>
    </row>
    <row r="547" spans="4:10" x14ac:dyDescent="0.3">
      <c r="I547" s="4"/>
      <c r="J547" s="6"/>
    </row>
    <row r="548" spans="4:10" x14ac:dyDescent="0.3">
      <c r="I548" s="4"/>
      <c r="J548" s="6"/>
    </row>
    <row r="549" spans="4:10" x14ac:dyDescent="0.3">
      <c r="I549" s="4"/>
      <c r="J549" s="6"/>
    </row>
    <row r="550" spans="4:10" x14ac:dyDescent="0.3">
      <c r="I550" s="4"/>
      <c r="J550" s="6"/>
    </row>
    <row r="551" spans="4:10" x14ac:dyDescent="0.3">
      <c r="I551" s="4"/>
      <c r="J551" s="6"/>
    </row>
    <row r="552" spans="4:10" x14ac:dyDescent="0.3">
      <c r="I552" s="4"/>
      <c r="J552" s="6"/>
    </row>
    <row r="553" spans="4:10" x14ac:dyDescent="0.3">
      <c r="I553" s="4"/>
      <c r="J553" s="6"/>
    </row>
    <row r="554" spans="4:10" x14ac:dyDescent="0.3">
      <c r="I554" s="4"/>
      <c r="J554" s="6"/>
    </row>
    <row r="555" spans="4:10" x14ac:dyDescent="0.3">
      <c r="I555" s="4"/>
      <c r="J555" s="6"/>
    </row>
    <row r="556" spans="4:10" x14ac:dyDescent="0.3">
      <c r="I556" s="4"/>
      <c r="J556" s="6"/>
    </row>
    <row r="557" spans="4:10" x14ac:dyDescent="0.3">
      <c r="I557" s="4"/>
      <c r="J557" s="6"/>
    </row>
    <row r="558" spans="4:10" x14ac:dyDescent="0.3">
      <c r="I558" s="4"/>
      <c r="J558" s="6"/>
    </row>
    <row r="559" spans="4:10" x14ac:dyDescent="0.3">
      <c r="I559" s="4"/>
      <c r="J559" s="6"/>
    </row>
    <row r="560" spans="4:10" x14ac:dyDescent="0.3">
      <c r="I560" s="4"/>
      <c r="J560" s="6"/>
    </row>
    <row r="561" spans="9:10" x14ac:dyDescent="0.3">
      <c r="I561" s="4"/>
      <c r="J561" s="6"/>
    </row>
    <row r="562" spans="9:10" x14ac:dyDescent="0.3">
      <c r="I562" s="4"/>
      <c r="J562" s="6"/>
    </row>
    <row r="563" spans="9:10" x14ac:dyDescent="0.3">
      <c r="I563" s="4"/>
      <c r="J563" s="6"/>
    </row>
  </sheetData>
  <protectedRanges>
    <protectedRange algorithmName="SHA-512" hashValue="2MVA4qC50OX6aEoXczwM2sIQms7TGDxDK70d6bxh2GcXaOFSf0vFJFznV3AnrG27qxn/P4uurE2j22kf3FDbzQ==" saltValue="e1jPrzvp5k4irsLCohgVdQ==" spinCount="100000" sqref="A16:F17 H16:K17" name="Títulos"/>
  </protectedRanges>
  <phoneticPr fontId="5" type="noConversion"/>
  <conditionalFormatting sqref="I2:I1048576 L2:L3">
    <cfRule type="dataBar" priority="44">
      <dataBar>
        <cfvo type="percent" val="0"/>
        <cfvo type="percent" val="100"/>
        <color theme="4" tint="-0.499984740745262"/>
      </dataBar>
      <extLst>
        <ext xmlns:x14="http://schemas.microsoft.com/office/spreadsheetml/2009/9/main" uri="{B025F937-C7B1-47D3-B67F-A62EFF666E3E}">
          <x14:id>{B768B003-F9AD-4CDD-ADE3-C849FD220574}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68B003-F9AD-4CDD-ADE3-C849FD22057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I2:I1048576 L2:L3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F0D5A9F-5533-42D0-A3CC-AB414D4A5DF1}">
          <x14:formula1>
            <xm:f>Fontes!$C$2:$C$4</xm:f>
          </x14:formula1>
          <xm:sqref>F29:F529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BBC7-05C8-4861-85B6-4F3A31DCEB46}">
  <sheetPr codeName="Planilha3"/>
  <dimension ref="A1:Q42"/>
  <sheetViews>
    <sheetView workbookViewId="0">
      <selection activeCell="B10" sqref="B10"/>
    </sheetView>
  </sheetViews>
  <sheetFormatPr defaultRowHeight="14.4" x14ac:dyDescent="0.3"/>
  <cols>
    <col min="1" max="1" width="11.109375" bestFit="1" customWidth="1"/>
    <col min="2" max="2" width="72.5546875" bestFit="1" customWidth="1"/>
    <col min="3" max="3" width="11.109375" bestFit="1" customWidth="1"/>
    <col min="4" max="4" width="16.33203125" bestFit="1" customWidth="1"/>
    <col min="5" max="6" width="16.5546875" bestFit="1" customWidth="1"/>
    <col min="7" max="7" width="16.77734375" bestFit="1" customWidth="1"/>
    <col min="8" max="8" width="9.88671875" bestFit="1" customWidth="1"/>
    <col min="9" max="9" width="10.44140625" bestFit="1" customWidth="1"/>
    <col min="10" max="10" width="10.5546875" bestFit="1" customWidth="1"/>
    <col min="11" max="11" width="8.109375" bestFit="1" customWidth="1"/>
  </cols>
  <sheetData>
    <row r="1" spans="1:17" x14ac:dyDescent="0.3">
      <c r="A1" t="s">
        <v>11</v>
      </c>
      <c r="B1" t="s">
        <v>12</v>
      </c>
      <c r="C1" t="s">
        <v>13</v>
      </c>
      <c r="D1" t="s">
        <v>29</v>
      </c>
      <c r="E1" t="s">
        <v>27</v>
      </c>
      <c r="F1" t="s">
        <v>30</v>
      </c>
      <c r="G1" t="s">
        <v>28</v>
      </c>
      <c r="H1" t="s">
        <v>14</v>
      </c>
      <c r="I1" t="s">
        <v>15</v>
      </c>
      <c r="J1" t="s">
        <v>20</v>
      </c>
      <c r="K1" t="s">
        <v>19</v>
      </c>
    </row>
    <row r="2" spans="1:17" x14ac:dyDescent="0.3">
      <c r="A2" s="35">
        <v>1</v>
      </c>
      <c r="B2" s="36" t="s">
        <v>53</v>
      </c>
      <c r="C2" s="36" t="s">
        <v>33</v>
      </c>
      <c r="D2" s="4">
        <v>44248</v>
      </c>
      <c r="E2" s="37">
        <v>0.99930555555555556</v>
      </c>
      <c r="F2" s="4">
        <v>44242</v>
      </c>
      <c r="G2" s="37">
        <v>0</v>
      </c>
      <c r="H2" s="36" t="s">
        <v>17</v>
      </c>
      <c r="I2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2" s="4">
        <v>44242</v>
      </c>
      <c r="K2" s="37">
        <v>0.85695601851851855</v>
      </c>
    </row>
    <row r="3" spans="1:17" x14ac:dyDescent="0.3">
      <c r="A3" s="35">
        <v>2</v>
      </c>
      <c r="B3" s="36" t="s">
        <v>54</v>
      </c>
      <c r="C3" s="36" t="s">
        <v>41</v>
      </c>
      <c r="D3" s="4">
        <v>44245</v>
      </c>
      <c r="E3" s="37">
        <v>0.99930555555555556</v>
      </c>
      <c r="F3" s="4">
        <v>44239</v>
      </c>
      <c r="G3" s="37">
        <v>0</v>
      </c>
      <c r="H3" s="36" t="s">
        <v>17</v>
      </c>
      <c r="I3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3" s="4">
        <v>44245</v>
      </c>
      <c r="K3" s="37">
        <v>0.32863425925925926</v>
      </c>
    </row>
    <row r="4" spans="1:17" x14ac:dyDescent="0.3">
      <c r="A4" s="35">
        <v>3</v>
      </c>
      <c r="B4" s="36" t="s">
        <v>56</v>
      </c>
      <c r="C4" s="36" t="s">
        <v>36</v>
      </c>
      <c r="D4" s="4">
        <v>44255</v>
      </c>
      <c r="E4" s="37">
        <v>0.99930555555555556</v>
      </c>
      <c r="F4" s="4">
        <v>44249</v>
      </c>
      <c r="G4" s="37">
        <v>0</v>
      </c>
      <c r="H4" s="36" t="s">
        <v>17</v>
      </c>
      <c r="I4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4" s="4">
        <v>44249</v>
      </c>
      <c r="K4" s="37">
        <v>0.66677083333333342</v>
      </c>
    </row>
    <row r="5" spans="1:17" x14ac:dyDescent="0.3">
      <c r="A5" s="35">
        <v>4</v>
      </c>
      <c r="B5" s="36" t="s">
        <v>57</v>
      </c>
      <c r="C5" s="36" t="s">
        <v>38</v>
      </c>
      <c r="D5" s="4">
        <v>44254</v>
      </c>
      <c r="E5" s="37">
        <v>0.70833333333333337</v>
      </c>
      <c r="F5" s="4">
        <v>44249</v>
      </c>
      <c r="G5" s="37">
        <v>0</v>
      </c>
      <c r="H5" s="36" t="s">
        <v>16</v>
      </c>
      <c r="I5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5" s="4">
        <v>44249</v>
      </c>
      <c r="K5" s="37">
        <v>0.66783564814814822</v>
      </c>
    </row>
    <row r="6" spans="1:17" x14ac:dyDescent="0.3">
      <c r="A6" s="35">
        <v>5</v>
      </c>
      <c r="B6" s="36" t="s">
        <v>58</v>
      </c>
      <c r="C6" s="36" t="s">
        <v>37</v>
      </c>
      <c r="D6" s="4">
        <v>44252</v>
      </c>
      <c r="E6" s="37">
        <v>0.99930555555555556</v>
      </c>
      <c r="F6" s="4">
        <v>44249</v>
      </c>
      <c r="G6" s="37">
        <v>0</v>
      </c>
      <c r="H6" s="36" t="s">
        <v>16</v>
      </c>
      <c r="I6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6" s="4">
        <v>44249</v>
      </c>
      <c r="K6" s="37">
        <v>0.66886574074074068</v>
      </c>
    </row>
    <row r="7" spans="1:17" x14ac:dyDescent="0.3">
      <c r="A7" s="35">
        <v>6</v>
      </c>
      <c r="B7" s="36" t="s">
        <v>59</v>
      </c>
      <c r="C7" s="36" t="s">
        <v>38</v>
      </c>
      <c r="D7" s="4">
        <v>44252</v>
      </c>
      <c r="E7" s="37">
        <v>0.8125</v>
      </c>
      <c r="F7" s="4">
        <v>44249</v>
      </c>
      <c r="G7" s="37">
        <v>0</v>
      </c>
      <c r="H7" s="36" t="s">
        <v>17</v>
      </c>
      <c r="I7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7" s="4">
        <v>44249</v>
      </c>
      <c r="K7" s="37">
        <v>0.66950231481481481</v>
      </c>
    </row>
    <row r="8" spans="1:17" x14ac:dyDescent="0.3">
      <c r="A8" s="35">
        <v>7</v>
      </c>
      <c r="B8" s="36" t="s">
        <v>60</v>
      </c>
      <c r="C8" s="36" t="s">
        <v>36</v>
      </c>
      <c r="D8" s="4">
        <v>44250</v>
      </c>
      <c r="E8" s="37">
        <v>0.99930555555555556</v>
      </c>
      <c r="F8" s="4">
        <v>44248</v>
      </c>
      <c r="G8" s="37">
        <v>0</v>
      </c>
      <c r="H8" s="36" t="s">
        <v>17</v>
      </c>
      <c r="I8" s="9">
        <f ca="1">IF(NOW() &gt; (Tabela12[[#This Row],[DATA ENTREGA]] + Tabela12[[#This Row],[HORA ENTREGA]]),1,(NOW() - (Tabela12[[#This Row],[DATA PASSADO]] + Tabela12[[#This Row],[HORA PASSADO]])) * 100 / ((Tabela12[[#This Row],[DATA ENTREGA]] + Tabela12[[#This Row],[HORA ENTREGA]])-(Tabela12[[#This Row],[DATA PASSADO]] + Tabela12[[#This Row],[HORA PASSADO]])) / 100)</f>
        <v>1</v>
      </c>
      <c r="J8" s="4">
        <v>44249</v>
      </c>
      <c r="K8" s="37">
        <v>0.67075231481481479</v>
      </c>
    </row>
    <row r="9" spans="1:17" x14ac:dyDescent="0.3">
      <c r="A9" s="35"/>
      <c r="B9" s="36"/>
      <c r="C9" s="36"/>
      <c r="D9" s="4"/>
      <c r="E9" s="37"/>
      <c r="F9" s="4"/>
      <c r="G9" s="37"/>
      <c r="H9" s="36"/>
      <c r="I9" s="9"/>
      <c r="J9" s="4"/>
      <c r="K9" s="37"/>
    </row>
    <row r="10" spans="1:17" x14ac:dyDescent="0.3">
      <c r="A10" s="35"/>
      <c r="B10" s="36"/>
      <c r="C10" s="36"/>
      <c r="D10" s="4"/>
      <c r="E10" s="37"/>
      <c r="F10" s="4"/>
      <c r="G10" s="37"/>
      <c r="H10" s="36"/>
      <c r="I10" s="9"/>
      <c r="J10" s="4"/>
      <c r="K10" s="37"/>
    </row>
    <row r="11" spans="1:17" x14ac:dyDescent="0.3">
      <c r="A11" s="35"/>
      <c r="B11" s="36"/>
      <c r="C11" s="36"/>
      <c r="D11" s="4"/>
      <c r="E11" s="37"/>
      <c r="F11" s="4"/>
      <c r="G11" s="37"/>
      <c r="H11" s="36"/>
      <c r="I11" s="9"/>
      <c r="J11" s="4"/>
      <c r="K11" s="37"/>
    </row>
    <row r="12" spans="1:17" x14ac:dyDescent="0.3">
      <c r="A12" s="35"/>
      <c r="B12" s="36"/>
      <c r="C12" s="36"/>
      <c r="D12" s="4"/>
      <c r="E12" s="37"/>
      <c r="F12" s="4"/>
      <c r="G12" s="37"/>
      <c r="H12" s="36"/>
      <c r="I12" s="9"/>
      <c r="J12" s="4"/>
      <c r="K12" s="37"/>
    </row>
    <row r="13" spans="1:17" x14ac:dyDescent="0.3">
      <c r="A13" s="35"/>
      <c r="B13" s="36"/>
      <c r="C13" s="36"/>
      <c r="D13" s="4"/>
      <c r="E13" s="37"/>
      <c r="F13" s="4"/>
      <c r="G13" s="37"/>
      <c r="H13" s="36"/>
      <c r="I13" s="9"/>
      <c r="J13" s="4"/>
      <c r="K13" s="37"/>
    </row>
    <row r="14" spans="1:17" x14ac:dyDescent="0.3">
      <c r="A14" s="35"/>
      <c r="B14" s="36"/>
      <c r="C14" s="36"/>
      <c r="D14" s="4"/>
      <c r="E14" s="37"/>
      <c r="F14" s="4"/>
      <c r="G14" s="37"/>
      <c r="H14" s="36"/>
      <c r="I14" s="9"/>
      <c r="J14" s="4"/>
      <c r="K14" s="37"/>
    </row>
    <row r="15" spans="1:17" x14ac:dyDescent="0.3">
      <c r="A15" s="35"/>
      <c r="B15" s="36"/>
      <c r="C15" s="36"/>
      <c r="D15" s="4"/>
      <c r="E15" s="37"/>
      <c r="F15" s="4"/>
      <c r="G15" s="37"/>
      <c r="H15" s="36"/>
      <c r="I15" s="9"/>
      <c r="J15" s="4"/>
      <c r="K15" s="37"/>
    </row>
    <row r="16" spans="1:17" x14ac:dyDescent="0.3">
      <c r="A16" s="35"/>
      <c r="B16" s="36"/>
      <c r="C16" s="36"/>
      <c r="D16" s="4"/>
      <c r="E16" s="37"/>
      <c r="F16" s="4"/>
      <c r="G16" s="37"/>
      <c r="H16" s="36"/>
      <c r="I16" s="9"/>
      <c r="J16" s="4"/>
      <c r="K16" s="37"/>
      <c r="L16" s="4"/>
      <c r="M16" s="37"/>
      <c r="N16" s="36"/>
      <c r="O16" s="9"/>
      <c r="P16" s="4"/>
      <c r="Q16" s="37"/>
    </row>
    <row r="17" spans="1:17" x14ac:dyDescent="0.3">
      <c r="A17" s="35"/>
      <c r="B17" s="36"/>
      <c r="C17" s="36"/>
      <c r="D17" s="4"/>
      <c r="E17" s="37"/>
      <c r="F17" s="4"/>
      <c r="G17" s="37"/>
      <c r="H17" s="36"/>
      <c r="I17" s="9"/>
      <c r="J17" s="4"/>
      <c r="K17" s="37"/>
      <c r="L17" s="4"/>
      <c r="M17" s="37"/>
      <c r="N17" s="36"/>
      <c r="O17" s="9"/>
      <c r="P17" s="4"/>
      <c r="Q17" s="37"/>
    </row>
    <row r="18" spans="1:17" x14ac:dyDescent="0.3">
      <c r="A18" s="35"/>
      <c r="B18" s="36"/>
      <c r="C18" s="36"/>
      <c r="D18" s="4"/>
      <c r="E18" s="37"/>
      <c r="F18" s="4"/>
      <c r="G18" s="37"/>
      <c r="H18" s="36"/>
      <c r="I18" s="9"/>
      <c r="J18" s="4"/>
      <c r="K18" s="37"/>
      <c r="L18" s="4"/>
      <c r="M18" s="37"/>
      <c r="N18" s="36"/>
      <c r="O18" s="9"/>
      <c r="P18" s="4"/>
      <c r="Q18" s="37"/>
    </row>
    <row r="19" spans="1:17" x14ac:dyDescent="0.3">
      <c r="A19" s="35"/>
      <c r="B19" s="36"/>
      <c r="C19" s="36"/>
      <c r="D19" s="4"/>
      <c r="E19" s="37"/>
      <c r="F19" s="4"/>
      <c r="G19" s="37"/>
      <c r="H19" s="36"/>
      <c r="I19" s="9"/>
      <c r="J19" s="4"/>
      <c r="K19" s="37"/>
      <c r="L19" s="4"/>
      <c r="M19" s="37"/>
      <c r="N19" s="36"/>
      <c r="O19" s="9"/>
      <c r="P19" s="4"/>
      <c r="Q19" s="37"/>
    </row>
    <row r="20" spans="1:17" x14ac:dyDescent="0.3">
      <c r="A20" s="35"/>
      <c r="B20" s="36"/>
      <c r="C20" s="36"/>
      <c r="D20" s="4"/>
      <c r="E20" s="37"/>
      <c r="F20" s="4"/>
      <c r="G20" s="37"/>
      <c r="H20" s="36"/>
      <c r="I20" s="9"/>
      <c r="J20" s="4"/>
      <c r="K20" s="37"/>
      <c r="L20" s="4"/>
      <c r="M20" s="37"/>
      <c r="N20" s="36"/>
      <c r="O20" s="9"/>
      <c r="P20" s="4"/>
      <c r="Q20" s="37"/>
    </row>
    <row r="21" spans="1:17" x14ac:dyDescent="0.3">
      <c r="A21" s="35"/>
      <c r="B21" s="36"/>
      <c r="C21" s="36"/>
      <c r="D21" s="4"/>
      <c r="E21" s="37"/>
      <c r="F21" s="4"/>
      <c r="G21" s="37"/>
      <c r="H21" s="36"/>
      <c r="I21" s="9"/>
      <c r="J21" s="4"/>
      <c r="K21" s="37"/>
      <c r="L21" s="4"/>
      <c r="M21" s="37"/>
      <c r="N21" s="36"/>
      <c r="O21" s="9"/>
      <c r="P21" s="4"/>
      <c r="Q21" s="37"/>
    </row>
    <row r="22" spans="1:17" x14ac:dyDescent="0.3">
      <c r="A22" s="35"/>
      <c r="B22" s="36"/>
      <c r="C22" s="36"/>
      <c r="D22" s="4"/>
      <c r="E22" s="37"/>
      <c r="F22" s="4"/>
      <c r="G22" s="37"/>
      <c r="H22" s="36"/>
      <c r="I22" s="9"/>
      <c r="J22" s="4"/>
      <c r="K22" s="37"/>
      <c r="L22" s="4"/>
      <c r="M22" s="37"/>
      <c r="N22" s="36"/>
      <c r="O22" s="9"/>
      <c r="P22" s="4"/>
      <c r="Q22" s="37"/>
    </row>
    <row r="23" spans="1:17" x14ac:dyDescent="0.3">
      <c r="A23" s="35"/>
      <c r="B23" s="36"/>
      <c r="C23" s="36"/>
      <c r="D23" s="4"/>
      <c r="E23" s="37"/>
      <c r="F23" s="4"/>
      <c r="G23" s="37"/>
      <c r="H23" s="36"/>
      <c r="I23" s="9"/>
      <c r="J23" s="4"/>
      <c r="K23" s="37"/>
    </row>
    <row r="24" spans="1:17" x14ac:dyDescent="0.3">
      <c r="A24" s="35"/>
      <c r="B24" s="36"/>
      <c r="C24" s="36"/>
      <c r="D24" s="4"/>
      <c r="E24" s="37"/>
      <c r="F24" s="4"/>
      <c r="G24" s="37"/>
      <c r="H24" s="36"/>
      <c r="I24" s="9"/>
      <c r="J24" s="4"/>
      <c r="K24" s="37"/>
    </row>
    <row r="25" spans="1:17" x14ac:dyDescent="0.3">
      <c r="A25" s="35"/>
      <c r="B25" s="36"/>
      <c r="C25" s="36"/>
      <c r="D25" s="4"/>
      <c r="E25" s="37"/>
      <c r="F25" s="4"/>
      <c r="G25" s="37"/>
      <c r="H25" s="36"/>
      <c r="I25" s="9"/>
      <c r="J25" s="4"/>
      <c r="K25" s="37"/>
      <c r="Q25" s="37"/>
    </row>
    <row r="26" spans="1:17" x14ac:dyDescent="0.3">
      <c r="A26" s="35"/>
      <c r="B26" s="36"/>
      <c r="C26" s="36"/>
      <c r="D26" s="4"/>
      <c r="E26" s="37"/>
      <c r="F26" s="4"/>
      <c r="G26" s="37"/>
      <c r="H26" s="36"/>
      <c r="I26" s="9"/>
      <c r="J26" s="4"/>
      <c r="K26" s="37"/>
      <c r="Q26" s="37"/>
    </row>
    <row r="27" spans="1:17" x14ac:dyDescent="0.3">
      <c r="D27" s="4"/>
      <c r="E27" s="4"/>
      <c r="Q27" s="37"/>
    </row>
    <row r="28" spans="1:17" x14ac:dyDescent="0.3">
      <c r="D28" s="4"/>
      <c r="E28" s="4"/>
      <c r="Q28" s="37"/>
    </row>
    <row r="29" spans="1:17" x14ac:dyDescent="0.3">
      <c r="D29" s="4"/>
      <c r="E29" s="4"/>
      <c r="Q29" s="37"/>
    </row>
    <row r="30" spans="1:17" x14ac:dyDescent="0.3">
      <c r="D30" s="4"/>
      <c r="E30" s="4"/>
      <c r="Q30" s="37"/>
    </row>
    <row r="31" spans="1:17" x14ac:dyDescent="0.3">
      <c r="D31" s="4"/>
      <c r="E31" s="4"/>
      <c r="Q31" s="37"/>
    </row>
    <row r="32" spans="1:17" x14ac:dyDescent="0.3">
      <c r="D32" s="4"/>
      <c r="E32" s="4"/>
    </row>
    <row r="33" spans="4:9" x14ac:dyDescent="0.3">
      <c r="D33" s="4"/>
      <c r="E33" s="4"/>
    </row>
    <row r="34" spans="4:9" x14ac:dyDescent="0.3">
      <c r="D34" s="4"/>
      <c r="E34" s="4"/>
      <c r="H34" s="4"/>
      <c r="I34" s="6"/>
    </row>
    <row r="35" spans="4:9" x14ac:dyDescent="0.3">
      <c r="D35" s="4"/>
      <c r="E35" s="4"/>
      <c r="H35" s="4"/>
      <c r="I35" s="6"/>
    </row>
    <row r="36" spans="4:9" x14ac:dyDescent="0.3">
      <c r="D36" s="4"/>
      <c r="E36" s="4"/>
      <c r="H36" s="4"/>
      <c r="I36" s="6"/>
    </row>
    <row r="37" spans="4:9" x14ac:dyDescent="0.3">
      <c r="D37" s="4"/>
      <c r="E37" s="4"/>
      <c r="H37" s="4"/>
      <c r="I37" s="6"/>
    </row>
    <row r="38" spans="4:9" x14ac:dyDescent="0.3">
      <c r="D38" s="4"/>
      <c r="E38" s="4"/>
      <c r="H38" s="4"/>
      <c r="I38" s="6"/>
    </row>
    <row r="39" spans="4:9" x14ac:dyDescent="0.3">
      <c r="D39" s="4"/>
      <c r="E39" s="4"/>
      <c r="H39" s="4"/>
      <c r="I39" s="6"/>
    </row>
    <row r="40" spans="4:9" x14ac:dyDescent="0.3">
      <c r="D40" s="4"/>
      <c r="E40" s="4"/>
      <c r="H40" s="4"/>
      <c r="I40" s="6"/>
    </row>
    <row r="41" spans="4:9" x14ac:dyDescent="0.3">
      <c r="D41" s="4"/>
      <c r="E41" s="4"/>
      <c r="H41" s="4"/>
      <c r="I41" s="6"/>
    </row>
    <row r="42" spans="4:9" x14ac:dyDescent="0.3">
      <c r="D42" s="4"/>
      <c r="E42" s="4"/>
      <c r="H42" s="4"/>
      <c r="I42" s="6"/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B85F1-4742-4B67-88F4-0C6BE1E61FC7}">
  <sheetPr codeName="Planilha2"/>
  <dimension ref="A1:Q61"/>
  <sheetViews>
    <sheetView topLeftCell="B1" workbookViewId="0">
      <selection activeCell="Q3" sqref="Q3"/>
    </sheetView>
  </sheetViews>
  <sheetFormatPr defaultRowHeight="14.4" x14ac:dyDescent="0.3"/>
  <cols>
    <col min="1" max="1" width="27.6640625" bestFit="1" customWidth="1"/>
    <col min="3" max="3" width="44.109375" bestFit="1" customWidth="1"/>
    <col min="7" max="7" width="9.77734375" bestFit="1" customWidth="1"/>
    <col min="11" max="11" width="27.6640625" bestFit="1" customWidth="1"/>
  </cols>
  <sheetData>
    <row r="1" spans="1:17" ht="22.8" x14ac:dyDescent="0.3">
      <c r="A1" s="1" t="s">
        <v>0</v>
      </c>
      <c r="C1" s="5" t="s">
        <v>14</v>
      </c>
      <c r="K1" s="1" t="s">
        <v>0</v>
      </c>
    </row>
    <row r="2" spans="1:17" ht="22.8" x14ac:dyDescent="0.3">
      <c r="A2" s="2" t="s">
        <v>1</v>
      </c>
      <c r="C2" s="3" t="s">
        <v>16</v>
      </c>
      <c r="E2" s="10">
        <v>1</v>
      </c>
      <c r="G2" t="s">
        <v>25</v>
      </c>
      <c r="I2" t="s">
        <v>26</v>
      </c>
      <c r="J2" t="s">
        <v>21</v>
      </c>
      <c r="K2" s="2" t="s">
        <v>26</v>
      </c>
      <c r="M2" s="23">
        <v>0</v>
      </c>
      <c r="O2" s="23">
        <v>0</v>
      </c>
      <c r="Q2" t="s">
        <v>26</v>
      </c>
    </row>
    <row r="3" spans="1:17" ht="22.8" x14ac:dyDescent="0.3">
      <c r="A3" s="2" t="s">
        <v>2</v>
      </c>
      <c r="C3" s="3" t="s">
        <v>17</v>
      </c>
      <c r="E3" s="10">
        <v>0</v>
      </c>
      <c r="G3" t="s">
        <v>24</v>
      </c>
      <c r="J3" t="s">
        <v>22</v>
      </c>
      <c r="K3" s="2" t="s">
        <v>1</v>
      </c>
      <c r="L3" t="s">
        <v>23</v>
      </c>
      <c r="M3" s="23">
        <v>1</v>
      </c>
      <c r="O3" s="23">
        <v>1</v>
      </c>
      <c r="Q3" t="s">
        <v>33</v>
      </c>
    </row>
    <row r="4" spans="1:17" ht="22.8" x14ac:dyDescent="0.3">
      <c r="A4" s="2" t="s">
        <v>3</v>
      </c>
      <c r="C4" s="3" t="s">
        <v>18</v>
      </c>
      <c r="K4" s="2" t="s">
        <v>2</v>
      </c>
      <c r="M4" s="23">
        <v>2</v>
      </c>
      <c r="O4" s="23">
        <v>2</v>
      </c>
      <c r="Q4" t="s">
        <v>34</v>
      </c>
    </row>
    <row r="5" spans="1:17" ht="22.8" x14ac:dyDescent="0.3">
      <c r="A5" s="2" t="s">
        <v>9</v>
      </c>
      <c r="K5" s="2" t="s">
        <v>3</v>
      </c>
      <c r="M5" s="23">
        <v>3</v>
      </c>
      <c r="O5" s="23">
        <v>3</v>
      </c>
      <c r="Q5" t="s">
        <v>35</v>
      </c>
    </row>
    <row r="6" spans="1:17" ht="22.8" x14ac:dyDescent="0.3">
      <c r="A6" s="2" t="s">
        <v>10</v>
      </c>
      <c r="K6" s="2" t="s">
        <v>9</v>
      </c>
      <c r="M6" s="23">
        <v>4</v>
      </c>
      <c r="O6" s="23">
        <v>4</v>
      </c>
      <c r="Q6" t="s">
        <v>36</v>
      </c>
    </row>
    <row r="7" spans="1:17" ht="22.8" x14ac:dyDescent="0.3">
      <c r="A7" s="2" t="s">
        <v>4</v>
      </c>
      <c r="K7" s="2" t="s">
        <v>10</v>
      </c>
      <c r="M7" s="23">
        <v>5</v>
      </c>
      <c r="O7" s="23">
        <v>5</v>
      </c>
      <c r="Q7" t="s">
        <v>37</v>
      </c>
    </row>
    <row r="8" spans="1:17" ht="22.8" x14ac:dyDescent="0.3">
      <c r="A8" s="2" t="s">
        <v>5</v>
      </c>
      <c r="K8" s="2" t="s">
        <v>4</v>
      </c>
      <c r="M8" s="23">
        <v>6</v>
      </c>
      <c r="O8" s="23">
        <v>6</v>
      </c>
      <c r="Q8" t="s">
        <v>38</v>
      </c>
    </row>
    <row r="9" spans="1:17" ht="22.8" x14ac:dyDescent="0.3">
      <c r="A9" s="2" t="s">
        <v>6</v>
      </c>
      <c r="K9" s="2" t="s">
        <v>5</v>
      </c>
      <c r="M9" s="23">
        <v>7</v>
      </c>
      <c r="O9" s="23">
        <v>7</v>
      </c>
      <c r="Q9" t="s">
        <v>39</v>
      </c>
    </row>
    <row r="10" spans="1:17" ht="22.8" x14ac:dyDescent="0.3">
      <c r="A10" s="2" t="s">
        <v>7</v>
      </c>
      <c r="K10" s="2" t="s">
        <v>6</v>
      </c>
      <c r="M10" s="23">
        <v>8</v>
      </c>
      <c r="O10" s="23">
        <v>8</v>
      </c>
      <c r="Q10" t="s">
        <v>40</v>
      </c>
    </row>
    <row r="11" spans="1:17" ht="22.8" x14ac:dyDescent="0.3">
      <c r="A11" s="2" t="s">
        <v>8</v>
      </c>
      <c r="K11" s="2" t="s">
        <v>31</v>
      </c>
      <c r="M11" s="23">
        <v>9</v>
      </c>
      <c r="O11" s="23">
        <v>9</v>
      </c>
      <c r="Q11" t="s">
        <v>41</v>
      </c>
    </row>
    <row r="12" spans="1:17" ht="22.8" x14ac:dyDescent="0.3">
      <c r="K12" s="2" t="s">
        <v>8</v>
      </c>
      <c r="M12" s="23">
        <v>10</v>
      </c>
      <c r="O12" s="23">
        <v>10</v>
      </c>
      <c r="Q12" t="s">
        <v>42</v>
      </c>
    </row>
    <row r="13" spans="1:17" x14ac:dyDescent="0.3">
      <c r="M13" s="23">
        <v>11</v>
      </c>
      <c r="O13" s="23">
        <v>11</v>
      </c>
    </row>
    <row r="14" spans="1:17" x14ac:dyDescent="0.3">
      <c r="M14" s="23">
        <v>12</v>
      </c>
      <c r="O14" s="23">
        <v>12</v>
      </c>
    </row>
    <row r="15" spans="1:17" x14ac:dyDescent="0.3">
      <c r="M15" s="23">
        <v>13</v>
      </c>
      <c r="O15" s="23">
        <v>13</v>
      </c>
    </row>
    <row r="16" spans="1:17" x14ac:dyDescent="0.3">
      <c r="M16" s="23">
        <v>14</v>
      </c>
      <c r="O16" s="23">
        <v>14</v>
      </c>
    </row>
    <row r="17" spans="13:15" x14ac:dyDescent="0.3">
      <c r="M17" s="23">
        <v>15</v>
      </c>
      <c r="O17" s="23">
        <v>15</v>
      </c>
    </row>
    <row r="18" spans="13:15" x14ac:dyDescent="0.3">
      <c r="M18" s="23">
        <v>16</v>
      </c>
      <c r="O18" s="23">
        <v>16</v>
      </c>
    </row>
    <row r="19" spans="13:15" x14ac:dyDescent="0.3">
      <c r="M19" s="23">
        <v>17</v>
      </c>
      <c r="O19" s="23">
        <v>17</v>
      </c>
    </row>
    <row r="20" spans="13:15" x14ac:dyDescent="0.3">
      <c r="M20" s="23">
        <v>18</v>
      </c>
      <c r="O20" s="23">
        <v>18</v>
      </c>
    </row>
    <row r="21" spans="13:15" x14ac:dyDescent="0.3">
      <c r="M21" s="23">
        <v>19</v>
      </c>
      <c r="O21" s="23">
        <v>19</v>
      </c>
    </row>
    <row r="22" spans="13:15" x14ac:dyDescent="0.3">
      <c r="M22" s="23">
        <v>20</v>
      </c>
      <c r="O22" s="23">
        <v>20</v>
      </c>
    </row>
    <row r="23" spans="13:15" x14ac:dyDescent="0.3">
      <c r="M23" s="23">
        <v>21</v>
      </c>
      <c r="O23" s="23">
        <v>21</v>
      </c>
    </row>
    <row r="24" spans="13:15" x14ac:dyDescent="0.3">
      <c r="M24" s="23">
        <v>22</v>
      </c>
      <c r="O24" s="23">
        <v>22</v>
      </c>
    </row>
    <row r="25" spans="13:15" x14ac:dyDescent="0.3">
      <c r="M25" s="23">
        <v>23</v>
      </c>
      <c r="O25" s="23">
        <v>23</v>
      </c>
    </row>
    <row r="26" spans="13:15" x14ac:dyDescent="0.3">
      <c r="O26" s="23">
        <v>24</v>
      </c>
    </row>
    <row r="27" spans="13:15" x14ac:dyDescent="0.3">
      <c r="O27" s="23">
        <v>25</v>
      </c>
    </row>
    <row r="28" spans="13:15" x14ac:dyDescent="0.3">
      <c r="O28" s="23">
        <v>26</v>
      </c>
    </row>
    <row r="29" spans="13:15" x14ac:dyDescent="0.3">
      <c r="O29" s="23">
        <v>27</v>
      </c>
    </row>
    <row r="30" spans="13:15" x14ac:dyDescent="0.3">
      <c r="O30" s="23">
        <v>28</v>
      </c>
    </row>
    <row r="31" spans="13:15" x14ac:dyDescent="0.3">
      <c r="O31" s="23">
        <v>29</v>
      </c>
    </row>
    <row r="32" spans="13:15" x14ac:dyDescent="0.3">
      <c r="O32" s="23">
        <v>30</v>
      </c>
    </row>
    <row r="33" spans="15:15" x14ac:dyDescent="0.3">
      <c r="O33" s="23">
        <v>31</v>
      </c>
    </row>
    <row r="34" spans="15:15" x14ac:dyDescent="0.3">
      <c r="O34" s="23">
        <v>32</v>
      </c>
    </row>
    <row r="35" spans="15:15" x14ac:dyDescent="0.3">
      <c r="O35" s="23">
        <v>33</v>
      </c>
    </row>
    <row r="36" spans="15:15" x14ac:dyDescent="0.3">
      <c r="O36" s="23">
        <v>34</v>
      </c>
    </row>
    <row r="37" spans="15:15" x14ac:dyDescent="0.3">
      <c r="O37" s="23">
        <v>35</v>
      </c>
    </row>
    <row r="38" spans="15:15" x14ac:dyDescent="0.3">
      <c r="O38" s="23">
        <v>36</v>
      </c>
    </row>
    <row r="39" spans="15:15" x14ac:dyDescent="0.3">
      <c r="O39" s="23">
        <v>37</v>
      </c>
    </row>
    <row r="40" spans="15:15" x14ac:dyDescent="0.3">
      <c r="O40" s="23">
        <v>38</v>
      </c>
    </row>
    <row r="41" spans="15:15" x14ac:dyDescent="0.3">
      <c r="O41" s="23">
        <v>39</v>
      </c>
    </row>
    <row r="42" spans="15:15" x14ac:dyDescent="0.3">
      <c r="O42" s="23">
        <v>40</v>
      </c>
    </row>
    <row r="43" spans="15:15" x14ac:dyDescent="0.3">
      <c r="O43" s="23">
        <v>41</v>
      </c>
    </row>
    <row r="44" spans="15:15" x14ac:dyDescent="0.3">
      <c r="O44" s="23">
        <v>42</v>
      </c>
    </row>
    <row r="45" spans="15:15" x14ac:dyDescent="0.3">
      <c r="O45" s="23">
        <v>43</v>
      </c>
    </row>
    <row r="46" spans="15:15" x14ac:dyDescent="0.3">
      <c r="O46" s="23">
        <v>44</v>
      </c>
    </row>
    <row r="47" spans="15:15" x14ac:dyDescent="0.3">
      <c r="O47" s="23">
        <v>45</v>
      </c>
    </row>
    <row r="48" spans="15:15" x14ac:dyDescent="0.3">
      <c r="O48" s="23">
        <v>46</v>
      </c>
    </row>
    <row r="49" spans="15:15" x14ac:dyDescent="0.3">
      <c r="O49" s="23">
        <v>47</v>
      </c>
    </row>
    <row r="50" spans="15:15" x14ac:dyDescent="0.3">
      <c r="O50" s="23">
        <v>48</v>
      </c>
    </row>
    <row r="51" spans="15:15" x14ac:dyDescent="0.3">
      <c r="O51" s="23">
        <v>49</v>
      </c>
    </row>
    <row r="52" spans="15:15" x14ac:dyDescent="0.3">
      <c r="O52" s="23">
        <v>50</v>
      </c>
    </row>
    <row r="53" spans="15:15" x14ac:dyDescent="0.3">
      <c r="O53" s="23">
        <v>51</v>
      </c>
    </row>
    <row r="54" spans="15:15" x14ac:dyDescent="0.3">
      <c r="O54" s="23">
        <v>52</v>
      </c>
    </row>
    <row r="55" spans="15:15" x14ac:dyDescent="0.3">
      <c r="O55" s="23">
        <v>53</v>
      </c>
    </row>
    <row r="56" spans="15:15" x14ac:dyDescent="0.3">
      <c r="O56" s="23">
        <v>54</v>
      </c>
    </row>
    <row r="57" spans="15:15" x14ac:dyDescent="0.3">
      <c r="O57" s="23">
        <v>55</v>
      </c>
    </row>
    <row r="58" spans="15:15" x14ac:dyDescent="0.3">
      <c r="O58" s="23">
        <v>56</v>
      </c>
    </row>
    <row r="59" spans="15:15" x14ac:dyDescent="0.3">
      <c r="O59" s="23">
        <v>57</v>
      </c>
    </row>
    <row r="60" spans="15:15" x14ac:dyDescent="0.3">
      <c r="O60" s="23">
        <v>58</v>
      </c>
    </row>
    <row r="61" spans="15:15" x14ac:dyDescent="0.3">
      <c r="O61" s="23">
        <v>59</v>
      </c>
    </row>
  </sheetData>
  <conditionalFormatting sqref="E2:E3">
    <cfRule type="dataBar" priority="1">
      <dataBar>
        <cfvo type="percent" val="0"/>
        <cfvo type="percent" val="100"/>
        <color theme="4" tint="-0.499984740745262"/>
      </dataBar>
      <extLst>
        <ext xmlns:x14="http://schemas.microsoft.com/office/spreadsheetml/2009/9/main" uri="{B025F937-C7B1-47D3-B67F-A62EFF666E3E}">
          <x14:id>{DC0E57B5-250E-48B2-9C59-E638D6DB8E48}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0E57B5-250E-48B2-9C59-E638D6DB8E48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E2:E3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1C72F5-662F-4DDA-B2B3-EB91FC869A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etec2</vt:lpstr>
      <vt:lpstr>etec1</vt:lpstr>
      <vt:lpstr>Planilha1</vt:lpstr>
      <vt:lpstr>Trabalhos</vt:lpstr>
      <vt:lpstr>Trabalhos2</vt:lpstr>
      <vt:lpstr>Fontes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Funchal</dc:creator>
  <cp:lastModifiedBy>Rafael Funchal</cp:lastModifiedBy>
  <dcterms:created xsi:type="dcterms:W3CDTF">2021-01-07T14:25:31Z</dcterms:created>
  <dcterms:modified xsi:type="dcterms:W3CDTF">2022-02-02T02:06:59Z</dcterms:modified>
</cp:coreProperties>
</file>