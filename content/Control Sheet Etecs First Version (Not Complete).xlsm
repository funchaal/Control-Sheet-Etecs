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drawings/drawing3.xml" ContentType="application/vnd.openxmlformats-officedocument.drawing+xml"/>
  <Override PartName="/xl/tables/table2.xml" ContentType="application/vnd.openxmlformats-officedocument.spreadsheetml.table+xml"/>
  <Override PartName="/xl/drawings/drawing4.xml" ContentType="application/vnd.openxmlformats-officedocument.drawing+xml"/>
  <Override PartName="/xl/queryTables/queryTable1.xml" ContentType="application/vnd.openxmlformats-officedocument.spreadsheetml.queryTable+xml"/>
  <Override PartName="/xl/drawings/drawing5.xml" ContentType="application/vnd.openxmlformats-officedocument.drawing+xml"/>
  <Override PartName="/xl/queryTables/queryTable2.xml" ContentType="application/vnd.openxmlformats-officedocument.spreadsheetml.queryTab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2527" codeName="{564CA151-5A5B-428A-3C10-775976492406}"/>
  <workbookPr codeName="EstaPastaDeTrabalho" hidePivotFieldList="1" defaultThemeVersion="166925"/>
  <mc:AlternateContent xmlns:mc="http://schemas.openxmlformats.org/markup-compatibility/2006">
    <mc:Choice Requires="x15">
      <x15ac:absPath xmlns:x15ac="http://schemas.microsoft.com/office/spreadsheetml/2010/11/ac" url="https://etecspgov-my.sharepoint.com/personal/rafael_funchal_etec_sp_gov_br/Documents/"/>
    </mc:Choice>
  </mc:AlternateContent>
  <xr:revisionPtr revIDLastSave="3324" documentId="8_{880C12A1-F314-4770-ACDA-108DAAC0622B}" xr6:coauthVersionLast="45" xr6:coauthVersionMax="45" xr10:uidLastSave="{21E201E8-C1DA-4351-AFF9-0E96D5173800}"/>
  <bookViews>
    <workbookView xWindow="-108" yWindow="-108" windowWidth="23256" windowHeight="13176" firstSheet="1" activeTab="4" xr2:uid="{68873B2F-A460-433C-ADB3-D7408A9838C0}"/>
  </bookViews>
  <sheets>
    <sheet name="Planilha1" sheetId="1" r:id="rId1"/>
    <sheet name="Planilha7" sheetId="7" r:id="rId2"/>
    <sheet name="Planilha3" sheetId="3" r:id="rId3"/>
    <sheet name="Planilha2" sheetId="2" r:id="rId4"/>
    <sheet name="Planilha4" sheetId="4" r:id="rId5"/>
    <sheet name="Planilha5" sheetId="5" r:id="rId6"/>
    <sheet name="Planilha6" sheetId="6" r:id="rId7"/>
    <sheet name="Planilha11" sheetId="11" r:id="rId8"/>
    <sheet name="Planilha12" sheetId="12" r:id="rId9"/>
  </sheets>
  <definedNames>
    <definedName name="_xlnm._FilterDatabase" localSheetId="4" hidden="1">Planilha4!$H$13:$H$58</definedName>
    <definedName name="ALU_Historico.aspx?96911__20_201577__20_20_20_20_20_20_2056__20_203267" localSheetId="7">Planilha11!$A$1:$C$2</definedName>
    <definedName name="ALU_Historico.aspx?96911__20_201577__20_20_20_20_20_20_2056__20_203267" localSheetId="8">Planilha12!$B$1:$D$2</definedName>
    <definedName name="TABELA">#REF!</definedName>
  </definedNames>
  <calcPr calcId="191029" calcMode="autoNoTable"/>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B21" i="7" l="1"/>
  <c r="C21" i="7"/>
  <c r="D21" i="7"/>
  <c r="B22" i="7"/>
  <c r="C22" i="7"/>
  <c r="D22" i="7"/>
  <c r="B23" i="7"/>
  <c r="C23" i="7"/>
  <c r="D23" i="7"/>
  <c r="B24" i="7"/>
  <c r="C24" i="7"/>
  <c r="D24" i="7"/>
  <c r="B25" i="7"/>
  <c r="C25" i="7"/>
  <c r="D25" i="7"/>
  <c r="B26" i="7"/>
  <c r="C26" i="7"/>
  <c r="D26" i="7"/>
  <c r="B27" i="7"/>
  <c r="C27" i="7"/>
  <c r="D27" i="7"/>
  <c r="B28" i="7"/>
  <c r="C28" i="7"/>
  <c r="D28" i="7"/>
  <c r="B29" i="7"/>
  <c r="C29" i="7"/>
  <c r="D29" i="7"/>
  <c r="B30" i="7"/>
  <c r="C30" i="7"/>
  <c r="D30" i="7"/>
  <c r="B31" i="7"/>
  <c r="C31" i="7"/>
  <c r="D31" i="7"/>
  <c r="B32" i="7"/>
  <c r="C32" i="7"/>
  <c r="D32" i="7"/>
  <c r="E2" i="12"/>
  <c r="L3" i="12"/>
  <c r="F2" i="12" s="1"/>
  <c r="B3" i="12"/>
  <c r="D3" i="12"/>
  <c r="C3" i="12"/>
  <c r="I3" i="3"/>
  <c r="J2" i="3"/>
  <c r="J3" i="12"/>
  <c r="I2" i="3"/>
  <c r="I1" i="3"/>
  <c r="J3" i="3" l="1"/>
  <c r="C2" i="7"/>
  <c r="F202" i="5" l="1"/>
  <c r="B202" i="5"/>
  <c r="G11" i="1" l="1"/>
  <c r="G12" i="1" s="1"/>
  <c r="C6" i="2"/>
  <c r="B1" i="5"/>
  <c r="D25" i="5"/>
  <c r="E25" i="5"/>
  <c r="F25" i="5"/>
  <c r="G25" i="5"/>
  <c r="H25" i="5"/>
  <c r="I25" i="5"/>
  <c r="J25" i="5"/>
  <c r="D26" i="5"/>
  <c r="E26" i="5"/>
  <c r="F26" i="5"/>
  <c r="G26" i="5"/>
  <c r="H26" i="5"/>
  <c r="I26" i="5"/>
  <c r="J26" i="5"/>
  <c r="D27" i="5"/>
  <c r="E27" i="5"/>
  <c r="F27" i="5"/>
  <c r="G27" i="5"/>
  <c r="H27" i="5"/>
  <c r="I27" i="5"/>
  <c r="J27" i="5"/>
  <c r="D28" i="5"/>
  <c r="E28" i="5"/>
  <c r="F28" i="5"/>
  <c r="G28" i="5"/>
  <c r="H28" i="5"/>
  <c r="I28" i="5"/>
  <c r="J28" i="5"/>
  <c r="D29" i="5"/>
  <c r="E29" i="5"/>
  <c r="F29" i="5"/>
  <c r="G29" i="5"/>
  <c r="H29" i="5"/>
  <c r="I29" i="5"/>
  <c r="J29" i="5"/>
  <c r="D30" i="5"/>
  <c r="E30" i="5"/>
  <c r="F30" i="5"/>
  <c r="G30" i="5"/>
  <c r="H30" i="5"/>
  <c r="I30" i="5"/>
  <c r="J30" i="5"/>
  <c r="D31" i="5"/>
  <c r="E31" i="5"/>
  <c r="F31" i="5"/>
  <c r="G31" i="5"/>
  <c r="H31" i="5"/>
  <c r="I31" i="5"/>
  <c r="J31" i="5"/>
  <c r="D32" i="5"/>
  <c r="E32" i="5"/>
  <c r="F32" i="5"/>
  <c r="G32" i="5"/>
  <c r="H32" i="5"/>
  <c r="I32" i="5"/>
  <c r="J32" i="5"/>
  <c r="D33" i="5"/>
  <c r="E33" i="5"/>
  <c r="F33" i="5"/>
  <c r="G33" i="5"/>
  <c r="H33" i="5"/>
  <c r="I33" i="5"/>
  <c r="J33" i="5"/>
  <c r="D34" i="5"/>
  <c r="E34" i="5"/>
  <c r="F34" i="5"/>
  <c r="G34" i="5"/>
  <c r="H34" i="5"/>
  <c r="I34" i="5"/>
  <c r="J34" i="5"/>
  <c r="D35" i="5"/>
  <c r="E35" i="5"/>
  <c r="F35" i="5"/>
  <c r="G35" i="5"/>
  <c r="H35" i="5"/>
  <c r="I35" i="5"/>
  <c r="J35" i="5"/>
  <c r="D36" i="5"/>
  <c r="E36" i="5"/>
  <c r="F36" i="5"/>
  <c r="G36" i="5"/>
  <c r="H36" i="5"/>
  <c r="I36" i="5"/>
  <c r="J36" i="5"/>
  <c r="D37" i="5"/>
  <c r="E37" i="5"/>
  <c r="F37" i="5"/>
  <c r="G37" i="5"/>
  <c r="H37" i="5"/>
  <c r="I37" i="5"/>
  <c r="J37" i="5"/>
  <c r="D38" i="5"/>
  <c r="E38" i="5"/>
  <c r="F38" i="5"/>
  <c r="G38" i="5"/>
  <c r="H38" i="5"/>
  <c r="I38" i="5"/>
  <c r="J38" i="5"/>
  <c r="D39" i="5"/>
  <c r="E39" i="5"/>
  <c r="F39" i="5"/>
  <c r="G39" i="5"/>
  <c r="H39" i="5"/>
  <c r="I39" i="5"/>
  <c r="J39" i="5"/>
  <c r="D40" i="5"/>
  <c r="E40" i="5"/>
  <c r="F40" i="5"/>
  <c r="G40" i="5"/>
  <c r="H40" i="5"/>
  <c r="I40" i="5"/>
  <c r="J40" i="5"/>
  <c r="D41" i="5"/>
  <c r="E41" i="5"/>
  <c r="F41" i="5"/>
  <c r="G41" i="5"/>
  <c r="H41" i="5"/>
  <c r="I41" i="5"/>
  <c r="J41" i="5"/>
  <c r="D42" i="5"/>
  <c r="E42" i="5"/>
  <c r="F42" i="5"/>
  <c r="G42" i="5"/>
  <c r="H42" i="5"/>
  <c r="I42" i="5"/>
  <c r="J42" i="5"/>
  <c r="D43" i="5"/>
  <c r="E43" i="5"/>
  <c r="F43" i="5"/>
  <c r="G43" i="5"/>
  <c r="H43" i="5"/>
  <c r="I43" i="5"/>
  <c r="J43" i="5"/>
  <c r="D44" i="5"/>
  <c r="E44" i="5"/>
  <c r="F44" i="5"/>
  <c r="G44" i="5"/>
  <c r="H44" i="5"/>
  <c r="I44" i="5"/>
  <c r="J44" i="5"/>
  <c r="D45" i="5"/>
  <c r="E45" i="5"/>
  <c r="F45" i="5"/>
  <c r="G45" i="5"/>
  <c r="H45" i="5"/>
  <c r="I45" i="5"/>
  <c r="J45" i="5"/>
  <c r="D46" i="5"/>
  <c r="E46" i="5"/>
  <c r="F46" i="5"/>
  <c r="G46" i="5"/>
  <c r="H46" i="5"/>
  <c r="I46" i="5"/>
  <c r="J46" i="5"/>
  <c r="D47" i="5"/>
  <c r="E47" i="5"/>
  <c r="F47" i="5"/>
  <c r="G47" i="5"/>
  <c r="H47" i="5"/>
  <c r="I47" i="5"/>
  <c r="J47" i="5"/>
  <c r="D48" i="5"/>
  <c r="E48" i="5"/>
  <c r="F48" i="5"/>
  <c r="G48" i="5"/>
  <c r="H48" i="5"/>
  <c r="I48" i="5"/>
  <c r="J48" i="5"/>
  <c r="D49" i="5"/>
  <c r="E49" i="5"/>
  <c r="F49" i="5"/>
  <c r="G49" i="5"/>
  <c r="H49" i="5"/>
  <c r="I49" i="5"/>
  <c r="J49" i="5"/>
  <c r="D50" i="5"/>
  <c r="E50" i="5"/>
  <c r="F50" i="5"/>
  <c r="G50" i="5"/>
  <c r="H50" i="5"/>
  <c r="I50" i="5"/>
  <c r="J50" i="5"/>
  <c r="D51" i="5"/>
  <c r="E51" i="5"/>
  <c r="F51" i="5"/>
  <c r="G51" i="5"/>
  <c r="H51" i="5"/>
  <c r="I51" i="5"/>
  <c r="J51" i="5"/>
  <c r="D52" i="5"/>
  <c r="E52" i="5"/>
  <c r="F52" i="5"/>
  <c r="G52" i="5"/>
  <c r="H52" i="5"/>
  <c r="I52" i="5"/>
  <c r="J52" i="5"/>
  <c r="D53" i="5"/>
  <c r="E53" i="5"/>
  <c r="F53" i="5"/>
  <c r="G53" i="5"/>
  <c r="H53" i="5"/>
  <c r="I53" i="5"/>
  <c r="J53" i="5"/>
  <c r="D54" i="5"/>
  <c r="E54" i="5"/>
  <c r="F54" i="5"/>
  <c r="G54" i="5"/>
  <c r="H54" i="5"/>
  <c r="I54" i="5"/>
  <c r="J54" i="5"/>
  <c r="D55" i="5"/>
  <c r="E55" i="5"/>
  <c r="F55" i="5"/>
  <c r="G55" i="5"/>
  <c r="H55" i="5"/>
  <c r="I55" i="5"/>
  <c r="J55" i="5"/>
  <c r="D56" i="5"/>
  <c r="E56" i="5"/>
  <c r="F56" i="5"/>
  <c r="G56" i="5"/>
  <c r="H56" i="5"/>
  <c r="I56" i="5"/>
  <c r="J56" i="5"/>
  <c r="D57" i="5"/>
  <c r="E57" i="5"/>
  <c r="F57" i="5"/>
  <c r="G57" i="5"/>
  <c r="H57" i="5"/>
  <c r="I57" i="5"/>
  <c r="J57" i="5"/>
  <c r="D58" i="5"/>
  <c r="E58" i="5"/>
  <c r="F58" i="5"/>
  <c r="G58" i="5"/>
  <c r="H58" i="5"/>
  <c r="I58" i="5"/>
  <c r="J58" i="5"/>
  <c r="K58" i="5"/>
  <c r="D59" i="5"/>
  <c r="E59" i="5"/>
  <c r="F59" i="5"/>
  <c r="G59" i="5"/>
  <c r="H59" i="5"/>
  <c r="I59" i="5"/>
  <c r="J59" i="5"/>
  <c r="K59" i="5"/>
  <c r="D60" i="5"/>
  <c r="E60" i="5"/>
  <c r="F60" i="5"/>
  <c r="G60" i="5"/>
  <c r="H60" i="5"/>
  <c r="I60" i="5"/>
  <c r="J60" i="5"/>
  <c r="K60" i="5"/>
  <c r="D61" i="5"/>
  <c r="E61" i="5"/>
  <c r="F61" i="5"/>
  <c r="G61" i="5"/>
  <c r="H61" i="5"/>
  <c r="I61" i="5"/>
  <c r="J61" i="5"/>
  <c r="K61" i="5"/>
  <c r="D62" i="5"/>
  <c r="E62" i="5"/>
  <c r="F62" i="5"/>
  <c r="G62" i="5"/>
  <c r="H62" i="5"/>
  <c r="I62" i="5"/>
  <c r="J62" i="5"/>
  <c r="K62" i="5"/>
  <c r="D63" i="5"/>
  <c r="E63" i="5"/>
  <c r="F63" i="5"/>
  <c r="G63" i="5"/>
  <c r="H63" i="5"/>
  <c r="I63" i="5"/>
  <c r="J63" i="5"/>
  <c r="K63" i="5"/>
  <c r="D64" i="5"/>
  <c r="E64" i="5"/>
  <c r="F64" i="5"/>
  <c r="G64" i="5"/>
  <c r="H64" i="5"/>
  <c r="I64" i="5"/>
  <c r="J64" i="5"/>
  <c r="K64" i="5"/>
  <c r="D65" i="5"/>
  <c r="E65" i="5"/>
  <c r="F65" i="5"/>
  <c r="G65" i="5"/>
  <c r="H65" i="5"/>
  <c r="I65" i="5"/>
  <c r="J65" i="5"/>
  <c r="K65" i="5"/>
  <c r="D66" i="5"/>
  <c r="E66" i="5"/>
  <c r="F66" i="5"/>
  <c r="G66" i="5"/>
  <c r="H66" i="5"/>
  <c r="I66" i="5"/>
  <c r="J66" i="5"/>
  <c r="K66" i="5"/>
  <c r="D67" i="5"/>
  <c r="E67" i="5"/>
  <c r="F67" i="5"/>
  <c r="G67" i="5"/>
  <c r="H67" i="5"/>
  <c r="I67" i="5"/>
  <c r="J67" i="5"/>
  <c r="K67" i="5"/>
  <c r="D68" i="5"/>
  <c r="E68" i="5"/>
  <c r="F68" i="5"/>
  <c r="G68" i="5"/>
  <c r="H68" i="5"/>
  <c r="I68" i="5"/>
  <c r="J68" i="5"/>
  <c r="K68" i="5"/>
  <c r="D69" i="5"/>
  <c r="E69" i="5"/>
  <c r="F69" i="5"/>
  <c r="G69" i="5"/>
  <c r="H69" i="5"/>
  <c r="I69" i="5"/>
  <c r="J69" i="5"/>
  <c r="K69" i="5"/>
  <c r="D70" i="5"/>
  <c r="E70" i="5"/>
  <c r="F70" i="5"/>
  <c r="G70" i="5"/>
  <c r="H70" i="5"/>
  <c r="I70" i="5"/>
  <c r="J70" i="5"/>
  <c r="K70" i="5"/>
  <c r="D71" i="5"/>
  <c r="E71" i="5"/>
  <c r="F71" i="5"/>
  <c r="G71" i="5"/>
  <c r="H71" i="5"/>
  <c r="I71" i="5"/>
  <c r="J71" i="5"/>
  <c r="K71" i="5"/>
  <c r="D72" i="5"/>
  <c r="E72" i="5"/>
  <c r="F72" i="5"/>
  <c r="G72" i="5"/>
  <c r="H72" i="5"/>
  <c r="I72" i="5"/>
  <c r="J72" i="5"/>
  <c r="K72" i="5"/>
  <c r="D73" i="5"/>
  <c r="E73" i="5"/>
  <c r="F73" i="5"/>
  <c r="G73" i="5"/>
  <c r="H73" i="5"/>
  <c r="I73" i="5"/>
  <c r="J73" i="5"/>
  <c r="K73" i="5"/>
  <c r="D74" i="5"/>
  <c r="E74" i="5"/>
  <c r="F74" i="5"/>
  <c r="G74" i="5"/>
  <c r="H74" i="5"/>
  <c r="I74" i="5"/>
  <c r="J74" i="5"/>
  <c r="K74" i="5"/>
  <c r="D75" i="5"/>
  <c r="E75" i="5"/>
  <c r="F75" i="5"/>
  <c r="G75" i="5"/>
  <c r="H75" i="5"/>
  <c r="I75" i="5"/>
  <c r="J75" i="5"/>
  <c r="K75" i="5"/>
  <c r="D76" i="5"/>
  <c r="E76" i="5"/>
  <c r="F76" i="5"/>
  <c r="G76" i="5"/>
  <c r="H76" i="5"/>
  <c r="I76" i="5"/>
  <c r="J76" i="5"/>
  <c r="K76" i="5"/>
  <c r="D77" i="5"/>
  <c r="E77" i="5"/>
  <c r="F77" i="5"/>
  <c r="G77" i="5"/>
  <c r="H77" i="5"/>
  <c r="I77" i="5"/>
  <c r="J77" i="5"/>
  <c r="K77" i="5"/>
  <c r="D78" i="5"/>
  <c r="E78" i="5"/>
  <c r="F78" i="5"/>
  <c r="G78" i="5"/>
  <c r="H78" i="5"/>
  <c r="I78" i="5"/>
  <c r="J78" i="5"/>
  <c r="K78" i="5"/>
  <c r="D79" i="5"/>
  <c r="E79" i="5"/>
  <c r="F79" i="5"/>
  <c r="G79" i="5"/>
  <c r="H79" i="5"/>
  <c r="I79" i="5"/>
  <c r="J79" i="5"/>
  <c r="K79" i="5"/>
  <c r="D80" i="5"/>
  <c r="E80" i="5"/>
  <c r="F80" i="5"/>
  <c r="G80" i="5"/>
  <c r="H80" i="5"/>
  <c r="I80" i="5"/>
  <c r="J80" i="5"/>
  <c r="K80" i="5"/>
  <c r="D81" i="5"/>
  <c r="E81" i="5"/>
  <c r="F81" i="5"/>
  <c r="G81" i="5"/>
  <c r="H81" i="5"/>
  <c r="I81" i="5"/>
  <c r="J81" i="5"/>
  <c r="K81" i="5"/>
  <c r="D82" i="5"/>
  <c r="E82" i="5"/>
  <c r="F82" i="5"/>
  <c r="G82" i="5"/>
  <c r="H82" i="5"/>
  <c r="I82" i="5"/>
  <c r="J82" i="5"/>
  <c r="K82" i="5"/>
  <c r="D83" i="5"/>
  <c r="E83" i="5"/>
  <c r="F83" i="5"/>
  <c r="G83" i="5"/>
  <c r="H83" i="5"/>
  <c r="I83" i="5"/>
  <c r="J83" i="5"/>
  <c r="K83" i="5"/>
  <c r="D84" i="5"/>
  <c r="E84" i="5"/>
  <c r="F84" i="5"/>
  <c r="G84" i="5"/>
  <c r="H84" i="5"/>
  <c r="I84" i="5"/>
  <c r="J84" i="5"/>
  <c r="K84" i="5"/>
  <c r="D85" i="5"/>
  <c r="E85" i="5"/>
  <c r="F85" i="5"/>
  <c r="G85" i="5"/>
  <c r="H85" i="5"/>
  <c r="I85" i="5"/>
  <c r="J85" i="5"/>
  <c r="K85" i="5"/>
  <c r="D86" i="5"/>
  <c r="E86" i="5"/>
  <c r="F86" i="5"/>
  <c r="G86" i="5"/>
  <c r="H86" i="5"/>
  <c r="I86" i="5"/>
  <c r="J86" i="5"/>
  <c r="K86" i="5"/>
  <c r="D87" i="5"/>
  <c r="E87" i="5"/>
  <c r="F87" i="5"/>
  <c r="G87" i="5"/>
  <c r="H87" i="5"/>
  <c r="I87" i="5"/>
  <c r="J87" i="5"/>
  <c r="K87" i="5"/>
  <c r="D88" i="5"/>
  <c r="E88" i="5"/>
  <c r="F88" i="5"/>
  <c r="G88" i="5"/>
  <c r="H88" i="5"/>
  <c r="I88" i="5"/>
  <c r="J88" i="5"/>
  <c r="K88" i="5"/>
  <c r="D89" i="5"/>
  <c r="E89" i="5"/>
  <c r="F89" i="5"/>
  <c r="G89" i="5"/>
  <c r="H89" i="5"/>
  <c r="I89" i="5"/>
  <c r="J89" i="5"/>
  <c r="K89" i="5"/>
  <c r="D90" i="5"/>
  <c r="E90" i="5"/>
  <c r="F90" i="5"/>
  <c r="G90" i="5"/>
  <c r="H90" i="5"/>
  <c r="I90" i="5"/>
  <c r="J90" i="5"/>
  <c r="K90" i="5"/>
  <c r="D91" i="5"/>
  <c r="E91" i="5"/>
  <c r="F91" i="5"/>
  <c r="G91" i="5"/>
  <c r="H91" i="5"/>
  <c r="I91" i="5"/>
  <c r="J91" i="5"/>
  <c r="K91" i="5"/>
  <c r="D92" i="5"/>
  <c r="E92" i="5"/>
  <c r="F92" i="5"/>
  <c r="G92" i="5"/>
  <c r="H92" i="5"/>
  <c r="I92" i="5"/>
  <c r="J92" i="5"/>
  <c r="K92" i="5"/>
  <c r="D93" i="5"/>
  <c r="E93" i="5"/>
  <c r="F93" i="5"/>
  <c r="G93" i="5"/>
  <c r="H93" i="5"/>
  <c r="I93" i="5"/>
  <c r="J93" i="5"/>
  <c r="K93" i="5"/>
  <c r="D94" i="5"/>
  <c r="E94" i="5"/>
  <c r="F94" i="5"/>
  <c r="G94" i="5"/>
  <c r="H94" i="5"/>
  <c r="I94" i="5"/>
  <c r="J94" i="5"/>
  <c r="K94" i="5"/>
  <c r="D95" i="5"/>
  <c r="E95" i="5"/>
  <c r="F95" i="5"/>
  <c r="G95" i="5"/>
  <c r="H95" i="5"/>
  <c r="I95" i="5"/>
  <c r="J95" i="5"/>
  <c r="K95" i="5"/>
  <c r="D96" i="5"/>
  <c r="E96" i="5"/>
  <c r="F96" i="5"/>
  <c r="G96" i="5"/>
  <c r="H96" i="5"/>
  <c r="I96" i="5"/>
  <c r="J96" i="5"/>
  <c r="K96" i="5"/>
  <c r="D97" i="5"/>
  <c r="E97" i="5"/>
  <c r="F97" i="5"/>
  <c r="G97" i="5"/>
  <c r="H97" i="5"/>
  <c r="I97" i="5"/>
  <c r="J97" i="5"/>
  <c r="K97" i="5"/>
  <c r="D98" i="5"/>
  <c r="E98" i="5"/>
  <c r="F98" i="5"/>
  <c r="G98" i="5"/>
  <c r="H98" i="5"/>
  <c r="I98" i="5"/>
  <c r="J98" i="5"/>
  <c r="K98" i="5"/>
  <c r="D99" i="5"/>
  <c r="E99" i="5"/>
  <c r="F99" i="5"/>
  <c r="G99" i="5"/>
  <c r="H99" i="5"/>
  <c r="I99" i="5"/>
  <c r="J99" i="5"/>
  <c r="K99" i="5"/>
  <c r="D100" i="5"/>
  <c r="E100" i="5"/>
  <c r="F100" i="5"/>
  <c r="G100" i="5"/>
  <c r="H100" i="5"/>
  <c r="I100" i="5"/>
  <c r="J100" i="5"/>
  <c r="K100" i="5"/>
  <c r="D101" i="5"/>
  <c r="E101" i="5"/>
  <c r="F101" i="5"/>
  <c r="G101" i="5"/>
  <c r="H101" i="5"/>
  <c r="I101" i="5"/>
  <c r="J101" i="5"/>
  <c r="K101" i="5"/>
  <c r="D102" i="5"/>
  <c r="E102" i="5"/>
  <c r="F102" i="5"/>
  <c r="G102" i="5"/>
  <c r="H102" i="5"/>
  <c r="I102" i="5"/>
  <c r="J102" i="5"/>
  <c r="K102" i="5"/>
  <c r="D103" i="5"/>
  <c r="E103" i="5"/>
  <c r="F103" i="5"/>
  <c r="G103" i="5"/>
  <c r="H103" i="5"/>
  <c r="I103" i="5"/>
  <c r="J103" i="5"/>
  <c r="K103" i="5"/>
  <c r="D104" i="5"/>
  <c r="E104" i="5"/>
  <c r="F104" i="5"/>
  <c r="G104" i="5"/>
  <c r="H104" i="5"/>
  <c r="I104" i="5"/>
  <c r="J104" i="5"/>
  <c r="K104" i="5"/>
  <c r="D105" i="5"/>
  <c r="E105" i="5"/>
  <c r="F105" i="5"/>
  <c r="G105" i="5"/>
  <c r="H105" i="5"/>
  <c r="I105" i="5"/>
  <c r="J105" i="5"/>
  <c r="K105" i="5"/>
  <c r="D106" i="5"/>
  <c r="E106" i="5"/>
  <c r="F106" i="5"/>
  <c r="G106" i="5"/>
  <c r="H106" i="5"/>
  <c r="I106" i="5"/>
  <c r="J106" i="5"/>
  <c r="K106" i="5"/>
  <c r="D107" i="5"/>
  <c r="E107" i="5"/>
  <c r="F107" i="5"/>
  <c r="G107" i="5"/>
  <c r="H107" i="5"/>
  <c r="I107" i="5"/>
  <c r="J107" i="5"/>
  <c r="K107" i="5"/>
  <c r="D108" i="5"/>
  <c r="E108" i="5"/>
  <c r="F108" i="5"/>
  <c r="G108" i="5"/>
  <c r="H108" i="5"/>
  <c r="I108" i="5"/>
  <c r="J108" i="5"/>
  <c r="K108" i="5"/>
  <c r="D109" i="5"/>
  <c r="E109" i="5"/>
  <c r="F109" i="5"/>
  <c r="G109" i="5"/>
  <c r="H109" i="5"/>
  <c r="I109" i="5"/>
  <c r="J109" i="5"/>
  <c r="K109" i="5"/>
  <c r="D110" i="5"/>
  <c r="E110" i="5"/>
  <c r="F110" i="5"/>
  <c r="G110" i="5"/>
  <c r="H110" i="5"/>
  <c r="I110" i="5"/>
  <c r="J110" i="5"/>
  <c r="K110" i="5"/>
  <c r="D111" i="5"/>
  <c r="E111" i="5"/>
  <c r="F111" i="5"/>
  <c r="G111" i="5"/>
  <c r="H111" i="5"/>
  <c r="I111" i="5"/>
  <c r="J111" i="5"/>
  <c r="K111" i="5"/>
  <c r="D112" i="5"/>
  <c r="E112" i="5"/>
  <c r="F112" i="5"/>
  <c r="G112" i="5"/>
  <c r="H112" i="5"/>
  <c r="I112" i="5"/>
  <c r="J112" i="5"/>
  <c r="K112" i="5"/>
  <c r="D113" i="5"/>
  <c r="E113" i="5"/>
  <c r="F113" i="5"/>
  <c r="G113" i="5"/>
  <c r="H113" i="5"/>
  <c r="I113" i="5"/>
  <c r="J113" i="5"/>
  <c r="K113" i="5"/>
  <c r="D114" i="5"/>
  <c r="E114" i="5"/>
  <c r="F114" i="5"/>
  <c r="G114" i="5"/>
  <c r="H114" i="5"/>
  <c r="I114" i="5"/>
  <c r="J114" i="5"/>
  <c r="K114" i="5"/>
  <c r="D115" i="5"/>
  <c r="E115" i="5"/>
  <c r="F115" i="5"/>
  <c r="G115" i="5"/>
  <c r="H115" i="5"/>
  <c r="I115" i="5"/>
  <c r="J115" i="5"/>
  <c r="K115" i="5"/>
  <c r="D116" i="5"/>
  <c r="E116" i="5"/>
  <c r="F116" i="5"/>
  <c r="G116" i="5"/>
  <c r="H116" i="5"/>
  <c r="I116" i="5"/>
  <c r="J116" i="5"/>
  <c r="K116" i="5"/>
  <c r="D117" i="5"/>
  <c r="E117" i="5"/>
  <c r="F117" i="5"/>
  <c r="G117" i="5"/>
  <c r="H117" i="5"/>
  <c r="I117" i="5"/>
  <c r="J117" i="5"/>
  <c r="K117" i="5"/>
  <c r="D118" i="5"/>
  <c r="E118" i="5"/>
  <c r="F118" i="5"/>
  <c r="G118" i="5"/>
  <c r="H118" i="5"/>
  <c r="I118" i="5"/>
  <c r="J118" i="5"/>
  <c r="K118" i="5"/>
  <c r="D119" i="5"/>
  <c r="E119" i="5"/>
  <c r="F119" i="5"/>
  <c r="G119" i="5"/>
  <c r="H119" i="5"/>
  <c r="I119" i="5"/>
  <c r="J119" i="5"/>
  <c r="K119" i="5"/>
  <c r="D120" i="5"/>
  <c r="E120" i="5"/>
  <c r="F120" i="5"/>
  <c r="G120" i="5"/>
  <c r="H120" i="5"/>
  <c r="I120" i="5"/>
  <c r="J120" i="5"/>
  <c r="K120" i="5"/>
  <c r="D121" i="5"/>
  <c r="E121" i="5"/>
  <c r="F121" i="5"/>
  <c r="G121" i="5"/>
  <c r="H121" i="5"/>
  <c r="I121" i="5"/>
  <c r="J121" i="5"/>
  <c r="K121" i="5"/>
  <c r="D122" i="5"/>
  <c r="E122" i="5"/>
  <c r="F122" i="5"/>
  <c r="G122" i="5"/>
  <c r="H122" i="5"/>
  <c r="I122" i="5"/>
  <c r="J122" i="5"/>
  <c r="K122" i="5"/>
  <c r="D123" i="5"/>
  <c r="E123" i="5"/>
  <c r="F123" i="5"/>
  <c r="G123" i="5"/>
  <c r="H123" i="5"/>
  <c r="I123" i="5"/>
  <c r="J123" i="5"/>
  <c r="K123" i="5"/>
  <c r="D124" i="5"/>
  <c r="E124" i="5"/>
  <c r="F124" i="5"/>
  <c r="G124" i="5"/>
  <c r="H124" i="5"/>
  <c r="I124" i="5"/>
  <c r="J124" i="5"/>
  <c r="K124" i="5"/>
  <c r="D125" i="5"/>
  <c r="E125" i="5"/>
  <c r="F125" i="5"/>
  <c r="G125" i="5"/>
  <c r="H125" i="5"/>
  <c r="I125" i="5"/>
  <c r="J125" i="5"/>
  <c r="K125" i="5"/>
  <c r="D126" i="5"/>
  <c r="E126" i="5"/>
  <c r="F126" i="5"/>
  <c r="G126" i="5"/>
  <c r="H126" i="5"/>
  <c r="I126" i="5"/>
  <c r="J126" i="5"/>
  <c r="K126" i="5"/>
  <c r="D127" i="5"/>
  <c r="E127" i="5"/>
  <c r="F127" i="5"/>
  <c r="G127" i="5"/>
  <c r="H127" i="5"/>
  <c r="I127" i="5"/>
  <c r="J127" i="5"/>
  <c r="K127" i="5"/>
  <c r="D128" i="5"/>
  <c r="E128" i="5"/>
  <c r="F128" i="5"/>
  <c r="G128" i="5"/>
  <c r="H128" i="5"/>
  <c r="I128" i="5"/>
  <c r="J128" i="5"/>
  <c r="K128" i="5"/>
  <c r="D129" i="5"/>
  <c r="E129" i="5"/>
  <c r="F129" i="5"/>
  <c r="G129" i="5"/>
  <c r="H129" i="5"/>
  <c r="I129" i="5"/>
  <c r="J129" i="5"/>
  <c r="K129" i="5"/>
  <c r="D130" i="5"/>
  <c r="E130" i="5"/>
  <c r="F130" i="5"/>
  <c r="G130" i="5"/>
  <c r="H130" i="5"/>
  <c r="I130" i="5"/>
  <c r="J130" i="5"/>
  <c r="K130" i="5"/>
  <c r="D131" i="5"/>
  <c r="E131" i="5"/>
  <c r="F131" i="5"/>
  <c r="G131" i="5"/>
  <c r="H131" i="5"/>
  <c r="I131" i="5"/>
  <c r="J131" i="5"/>
  <c r="K131" i="5"/>
  <c r="D132" i="5"/>
  <c r="E132" i="5"/>
  <c r="F132" i="5"/>
  <c r="G132" i="5"/>
  <c r="H132" i="5"/>
  <c r="I132" i="5"/>
  <c r="J132" i="5"/>
  <c r="K132" i="5"/>
  <c r="D133" i="5"/>
  <c r="E133" i="5"/>
  <c r="F133" i="5"/>
  <c r="G133" i="5"/>
  <c r="H133" i="5"/>
  <c r="I133" i="5"/>
  <c r="J133" i="5"/>
  <c r="K133" i="5"/>
  <c r="D134" i="5"/>
  <c r="E134" i="5"/>
  <c r="F134" i="5"/>
  <c r="G134" i="5"/>
  <c r="H134" i="5"/>
  <c r="I134" i="5"/>
  <c r="J134" i="5"/>
  <c r="K134" i="5"/>
  <c r="D135" i="5"/>
  <c r="E135" i="5"/>
  <c r="F135" i="5"/>
  <c r="G135" i="5"/>
  <c r="H135" i="5"/>
  <c r="I135" i="5"/>
  <c r="J135" i="5"/>
  <c r="K135" i="5"/>
  <c r="D136" i="5"/>
  <c r="E136" i="5"/>
  <c r="F136" i="5"/>
  <c r="G136" i="5"/>
  <c r="H136" i="5"/>
  <c r="I136" i="5"/>
  <c r="J136" i="5"/>
  <c r="K136" i="5"/>
  <c r="D137" i="5"/>
  <c r="E137" i="5"/>
  <c r="F137" i="5"/>
  <c r="G137" i="5"/>
  <c r="H137" i="5"/>
  <c r="I137" i="5"/>
  <c r="J137" i="5"/>
  <c r="K137" i="5"/>
  <c r="D138" i="5"/>
  <c r="E138" i="5"/>
  <c r="F138" i="5"/>
  <c r="G138" i="5"/>
  <c r="H138" i="5"/>
  <c r="I138" i="5"/>
  <c r="J138" i="5"/>
  <c r="K138" i="5"/>
  <c r="L9" i="5"/>
  <c r="M9" i="5"/>
  <c r="L10" i="5"/>
  <c r="M10" i="5"/>
  <c r="L11" i="5"/>
  <c r="M11" i="5"/>
  <c r="L12" i="5"/>
  <c r="M12" i="5"/>
  <c r="L13" i="5"/>
  <c r="M13" i="5"/>
  <c r="L14" i="5"/>
  <c r="M14" i="5"/>
  <c r="L15" i="5"/>
  <c r="M15" i="5"/>
  <c r="L16" i="5"/>
  <c r="M16" i="5"/>
  <c r="L17" i="5"/>
  <c r="M17" i="5"/>
  <c r="L18" i="5"/>
  <c r="M18" i="5"/>
  <c r="L19" i="5"/>
  <c r="M19" i="5"/>
  <c r="L20" i="5"/>
  <c r="M20" i="5"/>
  <c r="L21" i="5"/>
  <c r="M21" i="5"/>
  <c r="L22" i="5"/>
  <c r="M22" i="5"/>
  <c r="L23" i="5"/>
  <c r="M23" i="5"/>
  <c r="L24" i="5"/>
  <c r="M24" i="5"/>
  <c r="L25" i="5"/>
  <c r="M25" i="5"/>
  <c r="L26" i="5"/>
  <c r="M26" i="5"/>
  <c r="L27" i="5"/>
  <c r="M27" i="5"/>
  <c r="L28" i="5"/>
  <c r="M28" i="5"/>
  <c r="L29" i="5"/>
  <c r="M29" i="5"/>
  <c r="L30" i="5"/>
  <c r="M30" i="5"/>
  <c r="L31" i="5"/>
  <c r="M31" i="5"/>
  <c r="L32" i="5"/>
  <c r="M32" i="5"/>
  <c r="L33" i="5"/>
  <c r="M33" i="5"/>
  <c r="L34" i="5"/>
  <c r="M34" i="5"/>
  <c r="L35" i="5"/>
  <c r="M35" i="5"/>
  <c r="L36" i="5"/>
  <c r="M36" i="5"/>
  <c r="L37" i="5"/>
  <c r="M37" i="5"/>
  <c r="L38" i="5"/>
  <c r="M38" i="5"/>
  <c r="L39" i="5"/>
  <c r="M39" i="5"/>
  <c r="L40" i="5"/>
  <c r="M40" i="5"/>
  <c r="L41" i="5"/>
  <c r="M41" i="5"/>
  <c r="L42" i="5"/>
  <c r="M42" i="5"/>
  <c r="L43" i="5"/>
  <c r="M43" i="5"/>
  <c r="L44" i="5"/>
  <c r="M44" i="5"/>
  <c r="L45" i="5"/>
  <c r="M45" i="5"/>
  <c r="L46" i="5"/>
  <c r="M46" i="5"/>
  <c r="L47" i="5"/>
  <c r="M47" i="5"/>
  <c r="L48" i="5"/>
  <c r="M48" i="5"/>
  <c r="L49" i="5"/>
  <c r="M49" i="5"/>
  <c r="L50" i="5"/>
  <c r="M50" i="5"/>
  <c r="L51" i="5"/>
  <c r="M51" i="5"/>
  <c r="L52" i="5"/>
  <c r="M52" i="5"/>
  <c r="L53" i="5"/>
  <c r="M53" i="5"/>
  <c r="L54" i="5"/>
  <c r="M54" i="5"/>
  <c r="L55" i="5"/>
  <c r="M55" i="5"/>
  <c r="L56" i="5"/>
  <c r="M56" i="5"/>
  <c r="L57" i="5"/>
  <c r="M57" i="5"/>
  <c r="L58" i="5"/>
  <c r="M58" i="5"/>
  <c r="L59" i="5"/>
  <c r="M59" i="5"/>
  <c r="L60" i="5"/>
  <c r="M60" i="5"/>
  <c r="L61" i="5"/>
  <c r="M61" i="5"/>
  <c r="L62" i="5"/>
  <c r="M62" i="5"/>
  <c r="L63" i="5"/>
  <c r="M63" i="5"/>
  <c r="L64" i="5"/>
  <c r="M64" i="5"/>
  <c r="L65" i="5"/>
  <c r="M65" i="5"/>
  <c r="L66" i="5"/>
  <c r="M66" i="5"/>
  <c r="L67" i="5"/>
  <c r="M67" i="5"/>
  <c r="L68" i="5"/>
  <c r="M68" i="5"/>
  <c r="L69" i="5"/>
  <c r="M69" i="5"/>
  <c r="L70" i="5"/>
  <c r="M70" i="5"/>
  <c r="L71" i="5"/>
  <c r="M71" i="5"/>
  <c r="L72" i="5"/>
  <c r="M72" i="5"/>
  <c r="L73" i="5"/>
  <c r="M73" i="5"/>
  <c r="L74" i="5"/>
  <c r="M74" i="5"/>
  <c r="L75" i="5"/>
  <c r="M75" i="5"/>
  <c r="L76" i="5"/>
  <c r="M76" i="5"/>
  <c r="L77" i="5"/>
  <c r="M77" i="5"/>
  <c r="L78" i="5"/>
  <c r="M78" i="5"/>
  <c r="L79" i="5"/>
  <c r="M79" i="5"/>
  <c r="L80" i="5"/>
  <c r="M80" i="5"/>
  <c r="L81" i="5"/>
  <c r="M81" i="5"/>
  <c r="L82" i="5"/>
  <c r="M82" i="5"/>
  <c r="L83" i="5"/>
  <c r="M83" i="5"/>
  <c r="L84" i="5"/>
  <c r="M84" i="5"/>
  <c r="L85" i="5"/>
  <c r="M85" i="5"/>
  <c r="L86" i="5"/>
  <c r="M86" i="5"/>
  <c r="L87" i="5"/>
  <c r="M87" i="5"/>
  <c r="L88" i="5"/>
  <c r="M88" i="5"/>
  <c r="L89" i="5"/>
  <c r="M89" i="5"/>
  <c r="L90" i="5"/>
  <c r="M90" i="5"/>
  <c r="L91" i="5"/>
  <c r="M91" i="5"/>
  <c r="L92" i="5"/>
  <c r="M92" i="5"/>
  <c r="L93" i="5"/>
  <c r="M93" i="5"/>
  <c r="L94" i="5"/>
  <c r="M94" i="5"/>
  <c r="L95" i="5"/>
  <c r="M95" i="5"/>
  <c r="L96" i="5"/>
  <c r="M96" i="5"/>
  <c r="L97" i="5"/>
  <c r="M97" i="5"/>
  <c r="L98" i="5"/>
  <c r="M98" i="5"/>
  <c r="L99" i="5"/>
  <c r="M99" i="5"/>
  <c r="L100" i="5"/>
  <c r="M100" i="5"/>
  <c r="L101" i="5"/>
  <c r="M101" i="5"/>
  <c r="L102" i="5"/>
  <c r="M102" i="5"/>
  <c r="L103" i="5"/>
  <c r="M103" i="5"/>
  <c r="L104" i="5"/>
  <c r="M104" i="5"/>
  <c r="L105" i="5"/>
  <c r="M105" i="5"/>
  <c r="L106" i="5"/>
  <c r="M106" i="5"/>
  <c r="L107" i="5"/>
  <c r="M107" i="5"/>
  <c r="L108" i="5"/>
  <c r="M108" i="5"/>
  <c r="L109" i="5"/>
  <c r="M109" i="5"/>
  <c r="L110" i="5"/>
  <c r="M110" i="5"/>
  <c r="L111" i="5"/>
  <c r="M111" i="5"/>
  <c r="L112" i="5"/>
  <c r="M112" i="5"/>
  <c r="L113" i="5"/>
  <c r="M113" i="5"/>
  <c r="L114" i="5"/>
  <c r="M114" i="5"/>
  <c r="L115" i="5"/>
  <c r="M115" i="5"/>
  <c r="L116" i="5"/>
  <c r="M116" i="5"/>
  <c r="L117" i="5"/>
  <c r="M117" i="5"/>
  <c r="L118" i="5"/>
  <c r="M118" i="5"/>
  <c r="L119" i="5"/>
  <c r="M119" i="5"/>
  <c r="L120" i="5"/>
  <c r="M120" i="5"/>
  <c r="L121" i="5"/>
  <c r="M121" i="5"/>
  <c r="L122" i="5"/>
  <c r="M122" i="5"/>
  <c r="L123" i="5"/>
  <c r="M123" i="5"/>
  <c r="L124" i="5"/>
  <c r="M124" i="5"/>
  <c r="L125" i="5"/>
  <c r="M125" i="5"/>
  <c r="L126" i="5"/>
  <c r="M126" i="5"/>
  <c r="L127" i="5"/>
  <c r="M127" i="5"/>
  <c r="L128" i="5"/>
  <c r="M128" i="5"/>
  <c r="L129" i="5"/>
  <c r="M129" i="5"/>
  <c r="L130" i="5"/>
  <c r="M130" i="5"/>
  <c r="L131" i="5"/>
  <c r="M131" i="5"/>
  <c r="L132" i="5"/>
  <c r="M132" i="5"/>
  <c r="L133" i="5"/>
  <c r="M133" i="5"/>
  <c r="L134" i="5"/>
  <c r="M134" i="5"/>
  <c r="L135" i="5"/>
  <c r="M135" i="5"/>
  <c r="L136" i="5"/>
  <c r="M136" i="5"/>
  <c r="L137" i="5"/>
  <c r="M137" i="5"/>
  <c r="L138" i="5"/>
  <c r="M138" i="5"/>
  <c r="D139" i="5"/>
  <c r="E139" i="5"/>
  <c r="F139" i="5"/>
  <c r="G139" i="5"/>
  <c r="H139" i="5"/>
  <c r="I139" i="5"/>
  <c r="J139" i="5"/>
  <c r="K139" i="5"/>
  <c r="L139" i="5"/>
  <c r="M139" i="5"/>
  <c r="D140" i="5"/>
  <c r="E140" i="5"/>
  <c r="F140" i="5"/>
  <c r="G140" i="5"/>
  <c r="H140" i="5"/>
  <c r="I140" i="5"/>
  <c r="J140" i="5"/>
  <c r="K140" i="5"/>
  <c r="L140" i="5"/>
  <c r="M140" i="5"/>
  <c r="D141" i="5"/>
  <c r="E141" i="5"/>
  <c r="F141" i="5"/>
  <c r="G141" i="5"/>
  <c r="H141" i="5"/>
  <c r="I141" i="5"/>
  <c r="J141" i="5"/>
  <c r="K141" i="5"/>
  <c r="L141" i="5"/>
  <c r="M141" i="5"/>
  <c r="D142" i="5"/>
  <c r="E142" i="5"/>
  <c r="F142" i="5"/>
  <c r="G142" i="5"/>
  <c r="H142" i="5"/>
  <c r="I142" i="5"/>
  <c r="J142" i="5"/>
  <c r="K142" i="5"/>
  <c r="L142" i="5"/>
  <c r="M142" i="5"/>
  <c r="D143" i="5"/>
  <c r="E143" i="5"/>
  <c r="F143" i="5"/>
  <c r="G143" i="5"/>
  <c r="H143" i="5"/>
  <c r="I143" i="5"/>
  <c r="J143" i="5"/>
  <c r="K143" i="5"/>
  <c r="L143" i="5"/>
  <c r="M143" i="5"/>
  <c r="D144" i="5"/>
  <c r="E144" i="5"/>
  <c r="F144" i="5"/>
  <c r="G144" i="5"/>
  <c r="H144" i="5"/>
  <c r="I144" i="5"/>
  <c r="J144" i="5"/>
  <c r="K144" i="5"/>
  <c r="L144" i="5"/>
  <c r="M144" i="5"/>
  <c r="D145" i="5"/>
  <c r="E145" i="5"/>
  <c r="F145" i="5"/>
  <c r="G145" i="5"/>
  <c r="H145" i="5"/>
  <c r="I145" i="5"/>
  <c r="J145" i="5"/>
  <c r="K145" i="5"/>
  <c r="L145" i="5"/>
  <c r="M145" i="5"/>
  <c r="D146" i="5"/>
  <c r="E146" i="5"/>
  <c r="F146" i="5"/>
  <c r="G146" i="5"/>
  <c r="H146" i="5"/>
  <c r="I146" i="5"/>
  <c r="J146" i="5"/>
  <c r="K146" i="5"/>
  <c r="L146" i="5"/>
  <c r="M146" i="5"/>
  <c r="D147" i="5"/>
  <c r="E147" i="5"/>
  <c r="F147" i="5"/>
  <c r="G147" i="5"/>
  <c r="H147" i="5"/>
  <c r="I147" i="5"/>
  <c r="J147" i="5"/>
  <c r="K147" i="5"/>
  <c r="L147" i="5"/>
  <c r="M147" i="5"/>
  <c r="D148" i="5"/>
  <c r="E148" i="5"/>
  <c r="F148" i="5"/>
  <c r="G148" i="5"/>
  <c r="H148" i="5"/>
  <c r="I148" i="5"/>
  <c r="J148" i="5"/>
  <c r="K148" i="5"/>
  <c r="L148" i="5"/>
  <c r="M148" i="5"/>
  <c r="D149" i="5"/>
  <c r="E149" i="5"/>
  <c r="F149" i="5"/>
  <c r="G149" i="5"/>
  <c r="H149" i="5"/>
  <c r="I149" i="5"/>
  <c r="J149" i="5"/>
  <c r="K149" i="5"/>
  <c r="L149" i="5"/>
  <c r="M149" i="5"/>
  <c r="D150" i="5"/>
  <c r="E150" i="5"/>
  <c r="F150" i="5"/>
  <c r="G150" i="5"/>
  <c r="H150" i="5"/>
  <c r="I150" i="5"/>
  <c r="J150" i="5"/>
  <c r="K150" i="5"/>
  <c r="L150" i="5"/>
  <c r="M150" i="5"/>
  <c r="A17" i="5"/>
  <c r="B17" i="5"/>
  <c r="C17" i="5"/>
  <c r="A18" i="5"/>
  <c r="B18" i="5"/>
  <c r="C18" i="5"/>
  <c r="A19" i="5"/>
  <c r="B19" i="5"/>
  <c r="C19" i="5"/>
  <c r="A20" i="5"/>
  <c r="B20" i="5"/>
  <c r="C20" i="5"/>
  <c r="A21" i="5"/>
  <c r="B21" i="5"/>
  <c r="C21" i="5"/>
  <c r="A22" i="5"/>
  <c r="B22" i="5"/>
  <c r="C22" i="5"/>
  <c r="A23" i="5"/>
  <c r="B23" i="5"/>
  <c r="C23" i="5"/>
  <c r="A24" i="5"/>
  <c r="B24" i="5"/>
  <c r="C24" i="5"/>
  <c r="A25" i="5"/>
  <c r="B25" i="5"/>
  <c r="C25" i="5"/>
  <c r="A26" i="5"/>
  <c r="B26" i="5"/>
  <c r="C26" i="5"/>
  <c r="A27" i="5"/>
  <c r="B27" i="5"/>
  <c r="C27" i="5"/>
  <c r="A28" i="5"/>
  <c r="B28" i="5"/>
  <c r="C28" i="5"/>
  <c r="A29" i="5"/>
  <c r="B29" i="5"/>
  <c r="C29" i="5"/>
  <c r="A30" i="5"/>
  <c r="B30" i="5"/>
  <c r="C30" i="5"/>
  <c r="A31" i="5"/>
  <c r="B31" i="5"/>
  <c r="C31" i="5"/>
  <c r="A32" i="5"/>
  <c r="B32" i="5"/>
  <c r="C32" i="5"/>
  <c r="A33" i="5"/>
  <c r="B33" i="5"/>
  <c r="C33" i="5"/>
  <c r="A34" i="5"/>
  <c r="B34" i="5"/>
  <c r="C34" i="5"/>
  <c r="A35" i="5"/>
  <c r="B35" i="5"/>
  <c r="C35" i="5"/>
  <c r="A36" i="5"/>
  <c r="B36" i="5"/>
  <c r="C36" i="5"/>
  <c r="A37" i="5"/>
  <c r="B37" i="5"/>
  <c r="C37" i="5"/>
  <c r="A38" i="5"/>
  <c r="B38" i="5"/>
  <c r="C38" i="5"/>
  <c r="A39" i="5"/>
  <c r="B39" i="5"/>
  <c r="C39" i="5"/>
  <c r="A40" i="5"/>
  <c r="B40" i="5"/>
  <c r="C40" i="5"/>
  <c r="A41" i="5"/>
  <c r="B41" i="5"/>
  <c r="C41" i="5"/>
  <c r="A42" i="5"/>
  <c r="B42" i="5"/>
  <c r="C42" i="5"/>
  <c r="A43" i="5"/>
  <c r="B43" i="5"/>
  <c r="C43" i="5"/>
  <c r="A44" i="5"/>
  <c r="B44" i="5"/>
  <c r="C44" i="5"/>
  <c r="A45" i="5"/>
  <c r="B45" i="5"/>
  <c r="C45" i="5"/>
  <c r="A46" i="5"/>
  <c r="B46" i="5"/>
  <c r="C46" i="5"/>
  <c r="A47" i="5"/>
  <c r="B47" i="5"/>
  <c r="C47" i="5"/>
  <c r="A48" i="5"/>
  <c r="B48" i="5"/>
  <c r="C48" i="5"/>
  <c r="A49" i="5"/>
  <c r="B49" i="5"/>
  <c r="C49" i="5"/>
  <c r="A50" i="5"/>
  <c r="B50" i="5"/>
  <c r="C50" i="5"/>
  <c r="A51" i="5"/>
  <c r="B51" i="5"/>
  <c r="C51" i="5"/>
  <c r="A52" i="5"/>
  <c r="B52" i="5"/>
  <c r="C52" i="5"/>
  <c r="A53" i="5"/>
  <c r="B53" i="5"/>
  <c r="C53" i="5"/>
  <c r="A54" i="5"/>
  <c r="B54" i="5"/>
  <c r="C54" i="5"/>
  <c r="A55" i="5"/>
  <c r="B55" i="5"/>
  <c r="C55" i="5"/>
  <c r="A56" i="5"/>
  <c r="B56" i="5"/>
  <c r="C56" i="5"/>
  <c r="A57" i="5"/>
  <c r="B57" i="5"/>
  <c r="C57" i="5"/>
  <c r="A58" i="5"/>
  <c r="B58" i="5"/>
  <c r="C58" i="5"/>
  <c r="A59" i="5"/>
  <c r="B59" i="5"/>
  <c r="C59" i="5"/>
  <c r="A60" i="5"/>
  <c r="B60" i="5"/>
  <c r="C60" i="5"/>
  <c r="A61" i="5"/>
  <c r="B61" i="5"/>
  <c r="C61" i="5"/>
  <c r="A62" i="5"/>
  <c r="B62" i="5"/>
  <c r="C62" i="5"/>
  <c r="A63" i="5"/>
  <c r="B63" i="5"/>
  <c r="C63" i="5"/>
  <c r="A64" i="5"/>
  <c r="B64" i="5"/>
  <c r="C64" i="5"/>
  <c r="A65" i="5"/>
  <c r="B65" i="5"/>
  <c r="C65" i="5"/>
  <c r="A66" i="5"/>
  <c r="B66" i="5"/>
  <c r="C66" i="5"/>
  <c r="A67" i="5"/>
  <c r="B67" i="5"/>
  <c r="C67" i="5"/>
  <c r="A68" i="5"/>
  <c r="B68" i="5"/>
  <c r="C68" i="5"/>
  <c r="A69" i="5"/>
  <c r="B69" i="5"/>
  <c r="C69" i="5"/>
  <c r="A70" i="5"/>
  <c r="B70" i="5"/>
  <c r="C70" i="5"/>
  <c r="A71" i="5"/>
  <c r="B71" i="5"/>
  <c r="C71" i="5"/>
  <c r="A72" i="5"/>
  <c r="B72" i="5"/>
  <c r="C72" i="5"/>
  <c r="A73" i="5"/>
  <c r="B73" i="5"/>
  <c r="C73" i="5"/>
  <c r="A74" i="5"/>
  <c r="B74" i="5"/>
  <c r="C74" i="5"/>
  <c r="A75" i="5"/>
  <c r="B75" i="5"/>
  <c r="C75" i="5"/>
  <c r="A76" i="5"/>
  <c r="B76" i="5"/>
  <c r="C76" i="5"/>
  <c r="A77" i="5"/>
  <c r="B77" i="5"/>
  <c r="C77" i="5"/>
  <c r="A78" i="5"/>
  <c r="B78" i="5"/>
  <c r="C78" i="5"/>
  <c r="A79" i="5"/>
  <c r="B79" i="5"/>
  <c r="C79" i="5"/>
  <c r="A80" i="5"/>
  <c r="B80" i="5"/>
  <c r="C80" i="5"/>
  <c r="A81" i="5"/>
  <c r="B81" i="5"/>
  <c r="C81" i="5"/>
  <c r="A82" i="5"/>
  <c r="B82" i="5"/>
  <c r="C82" i="5"/>
  <c r="A83" i="5"/>
  <c r="B83" i="5"/>
  <c r="C83" i="5"/>
  <c r="A84" i="5"/>
  <c r="B84" i="5"/>
  <c r="C84" i="5"/>
  <c r="A85" i="5"/>
  <c r="B85" i="5"/>
  <c r="C85" i="5"/>
  <c r="A86" i="5"/>
  <c r="B86" i="5"/>
  <c r="C86" i="5"/>
  <c r="A87" i="5"/>
  <c r="B87" i="5"/>
  <c r="C87" i="5"/>
  <c r="A88" i="5"/>
  <c r="B88" i="5"/>
  <c r="C88" i="5"/>
  <c r="A89" i="5"/>
  <c r="B89" i="5"/>
  <c r="C89" i="5"/>
  <c r="G17" i="1" l="1"/>
  <c r="G16" i="1"/>
  <c r="G15" i="1"/>
  <c r="G14" i="1"/>
  <c r="G13" i="1"/>
  <c r="C359" i="2"/>
  <c r="C357" i="2"/>
  <c r="A90" i="5" l="1"/>
  <c r="B90" i="5"/>
  <c r="C90" i="5"/>
  <c r="A91" i="5"/>
  <c r="B91" i="5"/>
  <c r="C91" i="5"/>
  <c r="A92" i="5"/>
  <c r="B92" i="5"/>
  <c r="C92" i="5"/>
  <c r="A93" i="5"/>
  <c r="B93" i="5"/>
  <c r="C93" i="5"/>
  <c r="A94" i="5"/>
  <c r="B94" i="5"/>
  <c r="C94" i="5"/>
  <c r="A95" i="5"/>
  <c r="B95" i="5"/>
  <c r="C95" i="5"/>
  <c r="A96" i="5"/>
  <c r="B96" i="5"/>
  <c r="C96" i="5"/>
  <c r="A97" i="5"/>
  <c r="B97" i="5"/>
  <c r="C97" i="5"/>
  <c r="A98" i="5"/>
  <c r="B98" i="5"/>
  <c r="C98" i="5"/>
  <c r="K57" i="5" l="1"/>
  <c r="A1" i="5"/>
  <c r="L3" i="2"/>
  <c r="E5" i="2"/>
  <c r="E6" i="2"/>
  <c r="E7" i="2"/>
  <c r="E8" i="2"/>
  <c r="E9" i="2"/>
  <c r="E10" i="2"/>
  <c r="E11" i="2"/>
  <c r="E12" i="2"/>
  <c r="E13" i="2"/>
  <c r="E14" i="2"/>
  <c r="E15" i="2"/>
  <c r="E16" i="2"/>
  <c r="E17" i="2"/>
  <c r="E18" i="2"/>
  <c r="E19" i="2"/>
  <c r="E20" i="2"/>
  <c r="E21" i="2"/>
  <c r="E22" i="2"/>
  <c r="E23" i="2"/>
  <c r="E24" i="2"/>
  <c r="E25" i="2"/>
  <c r="E26" i="2"/>
  <c r="E27" i="2"/>
  <c r="E28" i="2"/>
  <c r="E29" i="2"/>
  <c r="E30" i="2"/>
  <c r="E31" i="2"/>
  <c r="E32" i="2"/>
  <c r="E33" i="2"/>
  <c r="E34" i="2"/>
  <c r="E35" i="2"/>
  <c r="E36" i="2"/>
  <c r="E37" i="2"/>
  <c r="E38" i="2"/>
  <c r="E39" i="2"/>
  <c r="E40" i="2"/>
  <c r="E41" i="2"/>
  <c r="E42" i="2"/>
  <c r="E43" i="2"/>
  <c r="E44" i="2"/>
  <c r="E45" i="2"/>
  <c r="E46" i="2"/>
  <c r="E47" i="2"/>
  <c r="E48" i="2"/>
  <c r="E49" i="2"/>
  <c r="E50" i="2"/>
  <c r="E51" i="2"/>
  <c r="E52" i="2"/>
  <c r="E53" i="2"/>
  <c r="E54" i="2"/>
  <c r="E55" i="2"/>
  <c r="E56" i="2"/>
  <c r="E57" i="2"/>
  <c r="E58" i="2"/>
  <c r="E59" i="2"/>
  <c r="E60" i="2"/>
  <c r="E61" i="2"/>
  <c r="E62" i="2"/>
  <c r="E63" i="2"/>
  <c r="E64" i="2"/>
  <c r="E65" i="2"/>
  <c r="E66" i="2"/>
  <c r="E67" i="2"/>
  <c r="E68" i="2"/>
  <c r="E69" i="2"/>
  <c r="E70" i="2"/>
  <c r="E71" i="2"/>
  <c r="E72" i="2"/>
  <c r="E73" i="2"/>
  <c r="E74" i="2"/>
  <c r="E75" i="2"/>
  <c r="E76" i="2"/>
  <c r="E77" i="2"/>
  <c r="E78" i="2"/>
  <c r="E79" i="2"/>
  <c r="E80" i="2"/>
  <c r="E81" i="2"/>
  <c r="E82" i="2"/>
  <c r="E83" i="2"/>
  <c r="E84" i="2"/>
  <c r="E85" i="2"/>
  <c r="E86" i="2"/>
  <c r="E87" i="2"/>
  <c r="E88" i="2"/>
  <c r="E89" i="2"/>
  <c r="E90" i="2"/>
  <c r="E91" i="2"/>
  <c r="E92" i="2"/>
  <c r="E93" i="2"/>
  <c r="E94" i="2"/>
  <c r="E95" i="2"/>
  <c r="E96" i="2"/>
  <c r="E97" i="2"/>
  <c r="E98" i="2"/>
  <c r="E99" i="2"/>
  <c r="E100" i="2"/>
  <c r="E101" i="2"/>
  <c r="E102" i="2"/>
  <c r="E103" i="2"/>
  <c r="E104" i="2"/>
  <c r="E105" i="2"/>
  <c r="E106" i="2"/>
  <c r="E107" i="2"/>
  <c r="E108" i="2"/>
  <c r="E109" i="2"/>
  <c r="E110" i="2"/>
  <c r="E111" i="2"/>
  <c r="E112" i="2"/>
  <c r="E113" i="2"/>
  <c r="E114" i="2"/>
  <c r="E115" i="2"/>
  <c r="E116" i="2"/>
  <c r="E117" i="2"/>
  <c r="E118" i="2"/>
  <c r="E119" i="2"/>
  <c r="E120" i="2"/>
  <c r="E121" i="2"/>
  <c r="E122" i="2"/>
  <c r="E123" i="2"/>
  <c r="E124" i="2"/>
  <c r="E125" i="2"/>
  <c r="E126" i="2"/>
  <c r="E127" i="2"/>
  <c r="E128" i="2"/>
  <c r="E129" i="2"/>
  <c r="E130" i="2"/>
  <c r="E131" i="2"/>
  <c r="E132" i="2"/>
  <c r="E133" i="2"/>
  <c r="E134" i="2"/>
  <c r="E135" i="2"/>
  <c r="E136" i="2"/>
  <c r="E137" i="2"/>
  <c r="E138" i="2"/>
  <c r="E139" i="2"/>
  <c r="E140" i="2"/>
  <c r="E141" i="2"/>
  <c r="E142" i="2"/>
  <c r="E143" i="2"/>
  <c r="E144" i="2"/>
  <c r="E145" i="2"/>
  <c r="E146" i="2"/>
  <c r="E147" i="2"/>
  <c r="E148" i="2"/>
  <c r="E149" i="2"/>
  <c r="E150" i="2"/>
  <c r="E151" i="2"/>
  <c r="E152" i="2"/>
  <c r="E153" i="2"/>
  <c r="E154" i="2"/>
  <c r="E155" i="2"/>
  <c r="E156" i="2"/>
  <c r="E157" i="2"/>
  <c r="E158" i="2"/>
  <c r="E159" i="2"/>
  <c r="E160" i="2"/>
  <c r="E161" i="2"/>
  <c r="E162" i="2"/>
  <c r="E163" i="2"/>
  <c r="E164" i="2"/>
  <c r="E165" i="2"/>
  <c r="E166" i="2"/>
  <c r="E167" i="2"/>
  <c r="E168" i="2"/>
  <c r="E169" i="2"/>
  <c r="E170" i="2"/>
  <c r="E171" i="2"/>
  <c r="E172" i="2"/>
  <c r="E173" i="2"/>
  <c r="E174" i="2"/>
  <c r="E175" i="2"/>
  <c r="E176" i="2"/>
  <c r="E177" i="2"/>
  <c r="E178" i="2"/>
  <c r="E179" i="2"/>
  <c r="E180" i="2"/>
  <c r="E181" i="2"/>
  <c r="E182" i="2"/>
  <c r="E183" i="2"/>
  <c r="E184" i="2"/>
  <c r="E185" i="2"/>
  <c r="E186" i="2"/>
  <c r="E187" i="2"/>
  <c r="E188" i="2"/>
  <c r="E189" i="2"/>
  <c r="E190" i="2"/>
  <c r="E191" i="2"/>
  <c r="E192" i="2"/>
  <c r="E193" i="2"/>
  <c r="E194" i="2"/>
  <c r="E195" i="2"/>
  <c r="E196" i="2"/>
  <c r="E197" i="2"/>
  <c r="E198" i="2"/>
  <c r="E199" i="2"/>
  <c r="E200" i="2"/>
  <c r="E201" i="2"/>
  <c r="E202" i="2"/>
  <c r="E203" i="2"/>
  <c r="E204" i="2"/>
  <c r="E205" i="2"/>
  <c r="E206" i="2"/>
  <c r="E207" i="2"/>
  <c r="E208" i="2"/>
  <c r="E209" i="2"/>
  <c r="E210" i="2"/>
  <c r="E211" i="2"/>
  <c r="E212" i="2"/>
  <c r="E213" i="2"/>
  <c r="E214" i="2"/>
  <c r="E215" i="2"/>
  <c r="E216" i="2"/>
  <c r="E217" i="2"/>
  <c r="E218" i="2"/>
  <c r="E219" i="2"/>
  <c r="E220" i="2"/>
  <c r="E221" i="2"/>
  <c r="E222" i="2"/>
  <c r="E223" i="2"/>
  <c r="E224" i="2"/>
  <c r="E225" i="2"/>
  <c r="E226" i="2"/>
  <c r="E227" i="2"/>
  <c r="E228" i="2"/>
  <c r="E229" i="2"/>
  <c r="E230" i="2"/>
  <c r="E231" i="2"/>
  <c r="E232" i="2"/>
  <c r="E233" i="2"/>
  <c r="E234" i="2"/>
  <c r="E235" i="2"/>
  <c r="E236" i="2"/>
  <c r="E237" i="2"/>
  <c r="E238" i="2"/>
  <c r="E239" i="2"/>
  <c r="E240" i="2"/>
  <c r="E241" i="2"/>
  <c r="E242" i="2"/>
  <c r="E243" i="2"/>
  <c r="E244" i="2"/>
  <c r="E245" i="2"/>
  <c r="E246" i="2"/>
  <c r="E247" i="2"/>
  <c r="E248" i="2"/>
  <c r="E249" i="2"/>
  <c r="E250" i="2"/>
  <c r="E251" i="2"/>
  <c r="E252" i="2"/>
  <c r="E253" i="2"/>
  <c r="E254" i="2"/>
  <c r="E255" i="2"/>
  <c r="E256" i="2"/>
  <c r="E257" i="2"/>
  <c r="E258" i="2"/>
  <c r="E259" i="2"/>
  <c r="E260" i="2"/>
  <c r="E261" i="2"/>
  <c r="E262" i="2"/>
  <c r="E263" i="2"/>
  <c r="E264" i="2"/>
  <c r="E265" i="2"/>
  <c r="E266" i="2"/>
  <c r="E267" i="2"/>
  <c r="E268" i="2"/>
  <c r="E269" i="2"/>
  <c r="E270" i="2"/>
  <c r="E271" i="2"/>
  <c r="E272" i="2"/>
  <c r="E273" i="2"/>
  <c r="E274" i="2"/>
  <c r="E275" i="2"/>
  <c r="E276" i="2"/>
  <c r="E277" i="2"/>
  <c r="E278" i="2"/>
  <c r="E279" i="2"/>
  <c r="E280" i="2"/>
  <c r="E281" i="2"/>
  <c r="E282" i="2"/>
  <c r="E283" i="2"/>
  <c r="E284" i="2"/>
  <c r="E285" i="2"/>
  <c r="E286" i="2"/>
  <c r="E287" i="2"/>
  <c r="E288" i="2"/>
  <c r="E289" i="2"/>
  <c r="E290" i="2"/>
  <c r="E291" i="2"/>
  <c r="E292" i="2"/>
  <c r="E293" i="2"/>
  <c r="E294" i="2"/>
  <c r="E295" i="2"/>
  <c r="E296" i="2"/>
  <c r="E297" i="2"/>
  <c r="E298" i="2"/>
  <c r="E299" i="2"/>
  <c r="E300" i="2"/>
  <c r="E301" i="2"/>
  <c r="E302" i="2"/>
  <c r="E303" i="2"/>
  <c r="E304" i="2"/>
  <c r="E305" i="2"/>
  <c r="E306" i="2"/>
  <c r="E307" i="2"/>
  <c r="E308" i="2"/>
  <c r="E309" i="2"/>
  <c r="E310" i="2"/>
  <c r="E311" i="2"/>
  <c r="E312" i="2"/>
  <c r="E313" i="2"/>
  <c r="E314" i="2"/>
  <c r="E315" i="2"/>
  <c r="E316" i="2"/>
  <c r="E317" i="2"/>
  <c r="E318" i="2"/>
  <c r="E319" i="2"/>
  <c r="E320" i="2"/>
  <c r="E321" i="2"/>
  <c r="E322" i="2"/>
  <c r="E323" i="2"/>
  <c r="E324" i="2"/>
  <c r="E325" i="2"/>
  <c r="E326" i="2"/>
  <c r="E327" i="2"/>
  <c r="E328" i="2"/>
  <c r="E329" i="2"/>
  <c r="E330" i="2"/>
  <c r="E331" i="2"/>
  <c r="E332" i="2"/>
  <c r="E333" i="2"/>
  <c r="E334" i="2"/>
  <c r="E335" i="2"/>
  <c r="E336" i="2"/>
  <c r="E337" i="2"/>
  <c r="E338" i="2"/>
  <c r="E339" i="2"/>
  <c r="E340" i="2"/>
  <c r="E341" i="2"/>
  <c r="E342" i="2"/>
  <c r="E343" i="2"/>
  <c r="E344" i="2"/>
  <c r="E345" i="2"/>
  <c r="E346" i="2"/>
  <c r="E347" i="2"/>
  <c r="E348" i="2"/>
  <c r="E349" i="2"/>
  <c r="E350" i="2"/>
  <c r="E351" i="2"/>
  <c r="E352" i="2"/>
  <c r="E353" i="2"/>
  <c r="E354" i="2"/>
  <c r="E355" i="2"/>
  <c r="E356" i="2"/>
  <c r="E357" i="2"/>
  <c r="E358" i="2"/>
  <c r="E359" i="2"/>
  <c r="E360" i="2"/>
  <c r="E361" i="2"/>
  <c r="E362" i="2"/>
  <c r="E363" i="2"/>
  <c r="E364" i="2"/>
  <c r="E365" i="2"/>
  <c r="E366" i="2"/>
  <c r="E367" i="2"/>
  <c r="E3" i="2"/>
  <c r="E4" i="2"/>
  <c r="D5" i="2"/>
  <c r="D6" i="2"/>
  <c r="D7" i="2"/>
  <c r="D8" i="2"/>
  <c r="D9" i="2"/>
  <c r="D10" i="2"/>
  <c r="D11" i="2"/>
  <c r="D12" i="2"/>
  <c r="D13" i="2"/>
  <c r="D14" i="2"/>
  <c r="D15" i="2"/>
  <c r="D16" i="2"/>
  <c r="D17" i="2"/>
  <c r="D18" i="2"/>
  <c r="D19" i="2"/>
  <c r="D20" i="2"/>
  <c r="D21" i="2"/>
  <c r="D22" i="2"/>
  <c r="D23" i="2"/>
  <c r="D24" i="2"/>
  <c r="D25" i="2"/>
  <c r="D26" i="2"/>
  <c r="D27" i="2"/>
  <c r="D28" i="2"/>
  <c r="D29" i="2"/>
  <c r="D30" i="2"/>
  <c r="D31" i="2"/>
  <c r="D32" i="2"/>
  <c r="D33" i="2"/>
  <c r="D34" i="2"/>
  <c r="D35" i="2"/>
  <c r="D36" i="2"/>
  <c r="D37" i="2"/>
  <c r="D38" i="2"/>
  <c r="D39" i="2"/>
  <c r="D40" i="2"/>
  <c r="D41" i="2"/>
  <c r="D42" i="2"/>
  <c r="D43" i="2"/>
  <c r="D44" i="2"/>
  <c r="D45" i="2"/>
  <c r="D46" i="2"/>
  <c r="D47" i="2"/>
  <c r="D48" i="2"/>
  <c r="D49" i="2"/>
  <c r="D50" i="2"/>
  <c r="D51" i="2"/>
  <c r="D52" i="2"/>
  <c r="D53" i="2"/>
  <c r="D54" i="2"/>
  <c r="D55" i="2"/>
  <c r="D56" i="2"/>
  <c r="D57" i="2"/>
  <c r="D58" i="2"/>
  <c r="D59" i="2"/>
  <c r="D60" i="2"/>
  <c r="D61" i="2"/>
  <c r="D62" i="2"/>
  <c r="D63" i="2"/>
  <c r="D64" i="2"/>
  <c r="D65" i="2"/>
  <c r="D66" i="2"/>
  <c r="D67" i="2"/>
  <c r="D68" i="2"/>
  <c r="D69" i="2"/>
  <c r="D70" i="2"/>
  <c r="D71" i="2"/>
  <c r="D72" i="2"/>
  <c r="D73" i="2"/>
  <c r="D74" i="2"/>
  <c r="D75" i="2"/>
  <c r="D76" i="2"/>
  <c r="D77" i="2"/>
  <c r="D78" i="2"/>
  <c r="D79" i="2"/>
  <c r="D80" i="2"/>
  <c r="D81" i="2"/>
  <c r="D82" i="2"/>
  <c r="D83" i="2"/>
  <c r="D84" i="2"/>
  <c r="D85" i="2"/>
  <c r="D86" i="2"/>
  <c r="D87" i="2"/>
  <c r="D88" i="2"/>
  <c r="D89" i="2"/>
  <c r="D90" i="2"/>
  <c r="D91" i="2"/>
  <c r="D92" i="2"/>
  <c r="D93" i="2"/>
  <c r="D94" i="2"/>
  <c r="D95" i="2"/>
  <c r="D96" i="2"/>
  <c r="D97" i="2"/>
  <c r="D98" i="2"/>
  <c r="D99" i="2"/>
  <c r="D100" i="2"/>
  <c r="D101" i="2"/>
  <c r="D102" i="2"/>
  <c r="D103" i="2"/>
  <c r="D104" i="2"/>
  <c r="D105" i="2"/>
  <c r="D106" i="2"/>
  <c r="D107" i="2"/>
  <c r="D108" i="2"/>
  <c r="D109" i="2"/>
  <c r="D110" i="2"/>
  <c r="D111" i="2"/>
  <c r="D112" i="2"/>
  <c r="D113" i="2"/>
  <c r="D114" i="2"/>
  <c r="D115" i="2"/>
  <c r="D116" i="2"/>
  <c r="D117" i="2"/>
  <c r="D118" i="2"/>
  <c r="D119" i="2"/>
  <c r="D120" i="2"/>
  <c r="D121" i="2"/>
  <c r="D122" i="2"/>
  <c r="D123" i="2"/>
  <c r="D124" i="2"/>
  <c r="D125" i="2"/>
  <c r="D126" i="2"/>
  <c r="D127" i="2"/>
  <c r="D128" i="2"/>
  <c r="D129" i="2"/>
  <c r="D130" i="2"/>
  <c r="D131" i="2"/>
  <c r="D132" i="2"/>
  <c r="D133" i="2"/>
  <c r="D134" i="2"/>
  <c r="D135" i="2"/>
  <c r="D136" i="2"/>
  <c r="D137" i="2"/>
  <c r="D138" i="2"/>
  <c r="D139" i="2"/>
  <c r="D140" i="2"/>
  <c r="D141" i="2"/>
  <c r="D142" i="2"/>
  <c r="D143" i="2"/>
  <c r="D144" i="2"/>
  <c r="D145" i="2"/>
  <c r="D146" i="2"/>
  <c r="D147" i="2"/>
  <c r="D148" i="2"/>
  <c r="D149" i="2"/>
  <c r="D150" i="2"/>
  <c r="D151" i="2"/>
  <c r="D152" i="2"/>
  <c r="D153" i="2"/>
  <c r="D154" i="2"/>
  <c r="D155" i="2"/>
  <c r="D156" i="2"/>
  <c r="D157" i="2"/>
  <c r="D158" i="2"/>
  <c r="D159" i="2"/>
  <c r="D160" i="2"/>
  <c r="D161" i="2"/>
  <c r="D162" i="2"/>
  <c r="D163" i="2"/>
  <c r="D164" i="2"/>
  <c r="D165" i="2"/>
  <c r="D166" i="2"/>
  <c r="D167" i="2"/>
  <c r="D168" i="2"/>
  <c r="D169" i="2"/>
  <c r="D170" i="2"/>
  <c r="D171" i="2"/>
  <c r="D172" i="2"/>
  <c r="D173" i="2"/>
  <c r="D174" i="2"/>
  <c r="D175" i="2"/>
  <c r="D176" i="2"/>
  <c r="D177" i="2"/>
  <c r="D178" i="2"/>
  <c r="D179" i="2"/>
  <c r="D180" i="2"/>
  <c r="D181" i="2"/>
  <c r="D182" i="2"/>
  <c r="D183" i="2"/>
  <c r="D184" i="2"/>
  <c r="D185" i="2"/>
  <c r="D186" i="2"/>
  <c r="D187" i="2"/>
  <c r="D188" i="2"/>
  <c r="D189" i="2"/>
  <c r="D190" i="2"/>
  <c r="D191" i="2"/>
  <c r="D192" i="2"/>
  <c r="D193" i="2"/>
  <c r="D194" i="2"/>
  <c r="D195" i="2"/>
  <c r="D196" i="2"/>
  <c r="D197" i="2"/>
  <c r="D198" i="2"/>
  <c r="D199" i="2"/>
  <c r="D200" i="2"/>
  <c r="D201" i="2"/>
  <c r="D202" i="2"/>
  <c r="D203" i="2"/>
  <c r="D204" i="2"/>
  <c r="D205" i="2"/>
  <c r="D206" i="2"/>
  <c r="D207" i="2"/>
  <c r="D208" i="2"/>
  <c r="D209" i="2"/>
  <c r="D210" i="2"/>
  <c r="D211" i="2"/>
  <c r="D212" i="2"/>
  <c r="D213" i="2"/>
  <c r="D214" i="2"/>
  <c r="D215" i="2"/>
  <c r="D216" i="2"/>
  <c r="D217" i="2"/>
  <c r="D218" i="2"/>
  <c r="D219" i="2"/>
  <c r="D220" i="2"/>
  <c r="D221" i="2"/>
  <c r="D222" i="2"/>
  <c r="D223" i="2"/>
  <c r="D224" i="2"/>
  <c r="D225" i="2"/>
  <c r="D226" i="2"/>
  <c r="D227" i="2"/>
  <c r="D228" i="2"/>
  <c r="D229" i="2"/>
  <c r="D230" i="2"/>
  <c r="D231" i="2"/>
  <c r="D232" i="2"/>
  <c r="D233" i="2"/>
  <c r="D234" i="2"/>
  <c r="D235" i="2"/>
  <c r="D236" i="2"/>
  <c r="D237" i="2"/>
  <c r="D238" i="2"/>
  <c r="D239" i="2"/>
  <c r="D240" i="2"/>
  <c r="D241" i="2"/>
  <c r="D242" i="2"/>
  <c r="D243" i="2"/>
  <c r="D244" i="2"/>
  <c r="D245" i="2"/>
  <c r="D246" i="2"/>
  <c r="D247" i="2"/>
  <c r="D248" i="2"/>
  <c r="D249" i="2"/>
  <c r="D250" i="2"/>
  <c r="D251" i="2"/>
  <c r="D252" i="2"/>
  <c r="D253" i="2"/>
  <c r="D254" i="2"/>
  <c r="D255" i="2"/>
  <c r="D256" i="2"/>
  <c r="D257" i="2"/>
  <c r="D258" i="2"/>
  <c r="D259" i="2"/>
  <c r="D260" i="2"/>
  <c r="D261" i="2"/>
  <c r="D262" i="2"/>
  <c r="D263" i="2"/>
  <c r="D264" i="2"/>
  <c r="D265" i="2"/>
  <c r="D266" i="2"/>
  <c r="D267" i="2"/>
  <c r="D268" i="2"/>
  <c r="D269" i="2"/>
  <c r="D270" i="2"/>
  <c r="D271" i="2"/>
  <c r="D272" i="2"/>
  <c r="D273" i="2"/>
  <c r="D274" i="2"/>
  <c r="D275" i="2"/>
  <c r="D276" i="2"/>
  <c r="D277" i="2"/>
  <c r="D278" i="2"/>
  <c r="D279" i="2"/>
  <c r="D280" i="2"/>
  <c r="D281" i="2"/>
  <c r="D282" i="2"/>
  <c r="D283" i="2"/>
  <c r="D284" i="2"/>
  <c r="D285" i="2"/>
  <c r="D286" i="2"/>
  <c r="D287" i="2"/>
  <c r="D288" i="2"/>
  <c r="D289" i="2"/>
  <c r="D290" i="2"/>
  <c r="D291" i="2"/>
  <c r="D292" i="2"/>
  <c r="D293" i="2"/>
  <c r="D294" i="2"/>
  <c r="D295" i="2"/>
  <c r="D296" i="2"/>
  <c r="D297" i="2"/>
  <c r="D298" i="2"/>
  <c r="D299" i="2"/>
  <c r="D300" i="2"/>
  <c r="D301" i="2"/>
  <c r="D302" i="2"/>
  <c r="D303" i="2"/>
  <c r="D304" i="2"/>
  <c r="D305" i="2"/>
  <c r="D306" i="2"/>
  <c r="D307" i="2"/>
  <c r="D308" i="2"/>
  <c r="D309" i="2"/>
  <c r="D310" i="2"/>
  <c r="D311" i="2"/>
  <c r="D312" i="2"/>
  <c r="D313" i="2"/>
  <c r="D314" i="2"/>
  <c r="D315" i="2"/>
  <c r="D316" i="2"/>
  <c r="D317" i="2"/>
  <c r="D318" i="2"/>
  <c r="D319" i="2"/>
  <c r="D320" i="2"/>
  <c r="D321" i="2"/>
  <c r="D322" i="2"/>
  <c r="D323" i="2"/>
  <c r="D324" i="2"/>
  <c r="D325" i="2"/>
  <c r="D326" i="2"/>
  <c r="D327" i="2"/>
  <c r="D328" i="2"/>
  <c r="D329" i="2"/>
  <c r="D330" i="2"/>
  <c r="D331" i="2"/>
  <c r="D332" i="2"/>
  <c r="D333" i="2"/>
  <c r="D334" i="2"/>
  <c r="D335" i="2"/>
  <c r="D336" i="2"/>
  <c r="D337" i="2"/>
  <c r="D338" i="2"/>
  <c r="D339" i="2"/>
  <c r="D340" i="2"/>
  <c r="D341" i="2"/>
  <c r="D342" i="2"/>
  <c r="D343" i="2"/>
  <c r="D344" i="2"/>
  <c r="D345" i="2"/>
  <c r="D346" i="2"/>
  <c r="D347" i="2"/>
  <c r="D348" i="2"/>
  <c r="D349" i="2"/>
  <c r="D350" i="2"/>
  <c r="D351" i="2"/>
  <c r="D352" i="2"/>
  <c r="D353" i="2"/>
  <c r="D354" i="2"/>
  <c r="D355" i="2"/>
  <c r="D356" i="2"/>
  <c r="D357" i="2"/>
  <c r="D358" i="2"/>
  <c r="D359" i="2"/>
  <c r="D360" i="2"/>
  <c r="D361" i="2"/>
  <c r="D362" i="2"/>
  <c r="D363" i="2"/>
  <c r="D364" i="2"/>
  <c r="D365" i="2"/>
  <c r="D366" i="2"/>
  <c r="D367" i="2"/>
  <c r="D4" i="2"/>
  <c r="D3" i="2"/>
  <c r="G3" i="2" l="1"/>
  <c r="F3" i="2"/>
  <c r="K55" i="5"/>
  <c r="K51" i="5"/>
  <c r="K47" i="5"/>
  <c r="K43" i="5"/>
  <c r="K39" i="5"/>
  <c r="K35" i="5"/>
  <c r="K31" i="5"/>
  <c r="K27" i="5"/>
  <c r="K50" i="5"/>
  <c r="K42" i="5"/>
  <c r="K34" i="5"/>
  <c r="K26" i="5"/>
  <c r="K54" i="5"/>
  <c r="K46" i="5"/>
  <c r="K38" i="5"/>
  <c r="K30" i="5"/>
  <c r="K53" i="5"/>
  <c r="K49" i="5"/>
  <c r="K45" i="5"/>
  <c r="K41" i="5"/>
  <c r="K37" i="5"/>
  <c r="K33" i="5"/>
  <c r="K29" i="5"/>
  <c r="K25" i="5"/>
  <c r="K56" i="5"/>
  <c r="K52" i="5"/>
  <c r="K48" i="5"/>
  <c r="K44" i="5"/>
  <c r="K40" i="5"/>
  <c r="K36" i="5"/>
  <c r="K32" i="5"/>
  <c r="K28" i="5"/>
  <c r="C12" i="2"/>
  <c r="C2" i="2"/>
  <c r="C11" i="2"/>
  <c r="A1" i="2"/>
  <c r="I3" i="2" l="1"/>
  <c r="C348" i="2"/>
  <c r="C243" i="2"/>
  <c r="C337" i="2"/>
  <c r="C211" i="2"/>
  <c r="C364" i="2"/>
  <c r="C307" i="2"/>
  <c r="C179" i="2"/>
  <c r="C356" i="2"/>
  <c r="C275" i="2"/>
  <c r="C131" i="2"/>
  <c r="C363" i="2"/>
  <c r="C355" i="2"/>
  <c r="C347" i="2"/>
  <c r="C335" i="2"/>
  <c r="C303" i="2"/>
  <c r="C271" i="2"/>
  <c r="C239" i="2"/>
  <c r="C207" i="2"/>
  <c r="C175" i="2"/>
  <c r="C115" i="2"/>
  <c r="C51" i="2"/>
  <c r="C360" i="2"/>
  <c r="C352" i="2"/>
  <c r="C344" i="2"/>
  <c r="C323" i="2"/>
  <c r="C291" i="2"/>
  <c r="C259" i="2"/>
  <c r="C227" i="2"/>
  <c r="C195" i="2"/>
  <c r="C163" i="2"/>
  <c r="C99" i="2"/>
  <c r="C35" i="2"/>
  <c r="C67" i="2"/>
  <c r="C351" i="2"/>
  <c r="C343" i="2"/>
  <c r="C319" i="2"/>
  <c r="C287" i="2"/>
  <c r="C255" i="2"/>
  <c r="C223" i="2"/>
  <c r="C191" i="2"/>
  <c r="C147" i="2"/>
  <c r="C83" i="2"/>
  <c r="C19" i="2"/>
  <c r="C159" i="2"/>
  <c r="C143" i="2"/>
  <c r="C127" i="2"/>
  <c r="C111" i="2"/>
  <c r="C95" i="2"/>
  <c r="C79" i="2"/>
  <c r="C63" i="2"/>
  <c r="C47" i="2"/>
  <c r="C31" i="2"/>
  <c r="C15" i="2"/>
  <c r="C3" i="2"/>
  <c r="C362" i="2"/>
  <c r="C358" i="2"/>
  <c r="C354" i="2"/>
  <c r="C350" i="2"/>
  <c r="C346" i="2"/>
  <c r="C341" i="2"/>
  <c r="C331" i="2"/>
  <c r="C315" i="2"/>
  <c r="C299" i="2"/>
  <c r="C283" i="2"/>
  <c r="C267" i="2"/>
  <c r="C251" i="2"/>
  <c r="C235" i="2"/>
  <c r="C219" i="2"/>
  <c r="C203" i="2"/>
  <c r="C187" i="2"/>
  <c r="C171" i="2"/>
  <c r="C155" i="2"/>
  <c r="C139" i="2"/>
  <c r="C123" i="2"/>
  <c r="C107" i="2"/>
  <c r="C91" i="2"/>
  <c r="C75" i="2"/>
  <c r="C59" i="2"/>
  <c r="C43" i="2"/>
  <c r="C27" i="2"/>
  <c r="C4" i="2"/>
  <c r="C8" i="2"/>
  <c r="C16" i="2"/>
  <c r="C20" i="2"/>
  <c r="C24" i="2"/>
  <c r="C28" i="2"/>
  <c r="C32" i="2"/>
  <c r="C36" i="2"/>
  <c r="C40" i="2"/>
  <c r="C44" i="2"/>
  <c r="C48" i="2"/>
  <c r="C52" i="2"/>
  <c r="C56" i="2"/>
  <c r="C60" i="2"/>
  <c r="C64" i="2"/>
  <c r="C68" i="2"/>
  <c r="C72" i="2"/>
  <c r="C76" i="2"/>
  <c r="C80" i="2"/>
  <c r="C84" i="2"/>
  <c r="C88" i="2"/>
  <c r="C92" i="2"/>
  <c r="C96" i="2"/>
  <c r="C100" i="2"/>
  <c r="C104" i="2"/>
  <c r="C108" i="2"/>
  <c r="C112" i="2"/>
  <c r="C116" i="2"/>
  <c r="C120" i="2"/>
  <c r="C124" i="2"/>
  <c r="C128" i="2"/>
  <c r="C132" i="2"/>
  <c r="C136" i="2"/>
  <c r="C140" i="2"/>
  <c r="C144" i="2"/>
  <c r="C148" i="2"/>
  <c r="C152" i="2"/>
  <c r="C156" i="2"/>
  <c r="C160" i="2"/>
  <c r="C164" i="2"/>
  <c r="C168" i="2"/>
  <c r="C172" i="2"/>
  <c r="C176" i="2"/>
  <c r="C180" i="2"/>
  <c r="C184" i="2"/>
  <c r="C188" i="2"/>
  <c r="C192" i="2"/>
  <c r="C196" i="2"/>
  <c r="C200" i="2"/>
  <c r="C204" i="2"/>
  <c r="C208" i="2"/>
  <c r="C212" i="2"/>
  <c r="C216" i="2"/>
  <c r="C220" i="2"/>
  <c r="C224" i="2"/>
  <c r="C228" i="2"/>
  <c r="C232" i="2"/>
  <c r="C236" i="2"/>
  <c r="C240" i="2"/>
  <c r="C244" i="2"/>
  <c r="C248" i="2"/>
  <c r="C252" i="2"/>
  <c r="C256" i="2"/>
  <c r="C260" i="2"/>
  <c r="C264" i="2"/>
  <c r="C268" i="2"/>
  <c r="C272" i="2"/>
  <c r="C276" i="2"/>
  <c r="C280" i="2"/>
  <c r="C284" i="2"/>
  <c r="C288" i="2"/>
  <c r="C292" i="2"/>
  <c r="C296" i="2"/>
  <c r="C300" i="2"/>
  <c r="C304" i="2"/>
  <c r="C308" i="2"/>
  <c r="C312" i="2"/>
  <c r="C316" i="2"/>
  <c r="C320" i="2"/>
  <c r="C324" i="2"/>
  <c r="C328" i="2"/>
  <c r="C332" i="2"/>
  <c r="C336" i="2"/>
  <c r="C340" i="2"/>
  <c r="C5" i="2"/>
  <c r="C9" i="2"/>
  <c r="C13" i="2"/>
  <c r="C17" i="2"/>
  <c r="C21" i="2"/>
  <c r="C25" i="2"/>
  <c r="C29" i="2"/>
  <c r="C33" i="2"/>
  <c r="C37" i="2"/>
  <c r="C41" i="2"/>
  <c r="C45" i="2"/>
  <c r="C49" i="2"/>
  <c r="C53" i="2"/>
  <c r="C57" i="2"/>
  <c r="C61" i="2"/>
  <c r="C65" i="2"/>
  <c r="C69" i="2"/>
  <c r="C73" i="2"/>
  <c r="C77" i="2"/>
  <c r="C81" i="2"/>
  <c r="C85" i="2"/>
  <c r="C89" i="2"/>
  <c r="C93" i="2"/>
  <c r="C97" i="2"/>
  <c r="C101" i="2"/>
  <c r="C105" i="2"/>
  <c r="C109" i="2"/>
  <c r="C113" i="2"/>
  <c r="C117" i="2"/>
  <c r="C121" i="2"/>
  <c r="C125" i="2"/>
  <c r="C129" i="2"/>
  <c r="C133" i="2"/>
  <c r="C137" i="2"/>
  <c r="C141" i="2"/>
  <c r="C145" i="2"/>
  <c r="C149" i="2"/>
  <c r="C153" i="2"/>
  <c r="C157" i="2"/>
  <c r="C161" i="2"/>
  <c r="C165" i="2"/>
  <c r="C169" i="2"/>
  <c r="C173" i="2"/>
  <c r="C177" i="2"/>
  <c r="C181" i="2"/>
  <c r="C185" i="2"/>
  <c r="C189" i="2"/>
  <c r="C193" i="2"/>
  <c r="C197" i="2"/>
  <c r="C201" i="2"/>
  <c r="C205" i="2"/>
  <c r="C209" i="2"/>
  <c r="C213" i="2"/>
  <c r="C217" i="2"/>
  <c r="C221" i="2"/>
  <c r="C225" i="2"/>
  <c r="C229" i="2"/>
  <c r="C233" i="2"/>
  <c r="C237" i="2"/>
  <c r="C241" i="2"/>
  <c r="C245" i="2"/>
  <c r="C249" i="2"/>
  <c r="C253" i="2"/>
  <c r="C257" i="2"/>
  <c r="C261" i="2"/>
  <c r="C265" i="2"/>
  <c r="C269" i="2"/>
  <c r="C273" i="2"/>
  <c r="C277" i="2"/>
  <c r="C281" i="2"/>
  <c r="C285" i="2"/>
  <c r="C289" i="2"/>
  <c r="C293" i="2"/>
  <c r="C297" i="2"/>
  <c r="C301" i="2"/>
  <c r="C305" i="2"/>
  <c r="C309" i="2"/>
  <c r="C313" i="2"/>
  <c r="C317" i="2"/>
  <c r="C321" i="2"/>
  <c r="C325" i="2"/>
  <c r="C329" i="2"/>
  <c r="C333" i="2"/>
  <c r="C10" i="2"/>
  <c r="C14" i="2"/>
  <c r="C18" i="2"/>
  <c r="C22" i="2"/>
  <c r="C26" i="2"/>
  <c r="C30" i="2"/>
  <c r="C34" i="2"/>
  <c r="C38" i="2"/>
  <c r="C42" i="2"/>
  <c r="C46" i="2"/>
  <c r="C50" i="2"/>
  <c r="C54" i="2"/>
  <c r="C58" i="2"/>
  <c r="C62" i="2"/>
  <c r="C66" i="2"/>
  <c r="C70" i="2"/>
  <c r="C74" i="2"/>
  <c r="C78" i="2"/>
  <c r="C82" i="2"/>
  <c r="C86" i="2"/>
  <c r="C90" i="2"/>
  <c r="C94" i="2"/>
  <c r="C98" i="2"/>
  <c r="C102" i="2"/>
  <c r="C106" i="2"/>
  <c r="C110" i="2"/>
  <c r="C114" i="2"/>
  <c r="C118" i="2"/>
  <c r="C122" i="2"/>
  <c r="C126" i="2"/>
  <c r="C130" i="2"/>
  <c r="C134" i="2"/>
  <c r="C138" i="2"/>
  <c r="C142" i="2"/>
  <c r="C146" i="2"/>
  <c r="C150" i="2"/>
  <c r="C154" i="2"/>
  <c r="C158" i="2"/>
  <c r="C162" i="2"/>
  <c r="C166" i="2"/>
  <c r="C170" i="2"/>
  <c r="C174" i="2"/>
  <c r="C178" i="2"/>
  <c r="C182" i="2"/>
  <c r="C186" i="2"/>
  <c r="C190" i="2"/>
  <c r="C194" i="2"/>
  <c r="C198" i="2"/>
  <c r="C202" i="2"/>
  <c r="C206" i="2"/>
  <c r="C210" i="2"/>
  <c r="C214" i="2"/>
  <c r="C218" i="2"/>
  <c r="C222" i="2"/>
  <c r="C226" i="2"/>
  <c r="C230" i="2"/>
  <c r="C234" i="2"/>
  <c r="C238" i="2"/>
  <c r="C242" i="2"/>
  <c r="C246" i="2"/>
  <c r="C250" i="2"/>
  <c r="C254" i="2"/>
  <c r="C258" i="2"/>
  <c r="C262" i="2"/>
  <c r="C266" i="2"/>
  <c r="C270" i="2"/>
  <c r="C274" i="2"/>
  <c r="C278" i="2"/>
  <c r="C282" i="2"/>
  <c r="C286" i="2"/>
  <c r="C290" i="2"/>
  <c r="C294" i="2"/>
  <c r="C298" i="2"/>
  <c r="C302" i="2"/>
  <c r="C306" i="2"/>
  <c r="C310" i="2"/>
  <c r="C314" i="2"/>
  <c r="C318" i="2"/>
  <c r="C322" i="2"/>
  <c r="C326" i="2"/>
  <c r="C330" i="2"/>
  <c r="C334" i="2"/>
  <c r="C338" i="2"/>
  <c r="C342" i="2"/>
  <c r="C365" i="2"/>
  <c r="C361" i="2"/>
  <c r="C353" i="2"/>
  <c r="C349" i="2"/>
  <c r="C345" i="2"/>
  <c r="C339" i="2"/>
  <c r="C327" i="2"/>
  <c r="C311" i="2"/>
  <c r="C295" i="2"/>
  <c r="C279" i="2"/>
  <c r="C263" i="2"/>
  <c r="C247" i="2"/>
  <c r="C231" i="2"/>
  <c r="C215" i="2"/>
  <c r="C199" i="2"/>
  <c r="C183" i="2"/>
  <c r="C167" i="2"/>
  <c r="C151" i="2"/>
  <c r="C135" i="2"/>
  <c r="C119" i="2"/>
  <c r="C103" i="2"/>
  <c r="C87" i="2"/>
  <c r="C71" i="2"/>
  <c r="C55" i="2"/>
  <c r="C39" i="2"/>
  <c r="C23" i="2"/>
  <c r="C7" i="2"/>
  <c r="H3" i="2" l="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CEC4B786-E571-4497-98C8-2334960E5AE3}" interval="5" name="Conexão" type="4" refreshedVersion="6" background="1" refreshOnLoad="1" saveData="1">
    <webPr sourceData="1" parsePre="1" consecutive="1" xl2000="1" url="https://siga.cps.sp.gov.br/etec/ALU_Historico.aspx?96911;%20%201577;%20%20%20%20%20%20%2056;%20%203267#" htmlTables="1" htmlFormat="all">
      <tables count="1">
        <s v="TABLE2"/>
      </tables>
    </webPr>
  </connection>
  <connection id="2" xr16:uid="{2B34A965-2C89-4668-9D65-17E37FD4A365}" name="Conexão1" type="4" refreshedVersion="6" background="1" refreshOnLoad="1" saveData="1">
    <webPr sourceData="1" parsePre="1" consecutive="1" xl2000="1" url="https://siga.cps.sp.gov.br/etec/ALU_Historico.aspx?96911;%20%201577;%20%20%20%20%20%20%2056;%20%203267#" htmlTables="1" htmlFormat="all">
      <tables count="1">
        <s v="TABLE2"/>
      </tables>
    </webPr>
  </connection>
</connections>
</file>

<file path=xl/sharedStrings.xml><?xml version="1.0" encoding="utf-8"?>
<sst xmlns="http://schemas.openxmlformats.org/spreadsheetml/2006/main" count="149" uniqueCount="75">
  <si>
    <t>Número</t>
  </si>
  <si>
    <t>Dia da semana</t>
  </si>
  <si>
    <t>Segunda-Feira</t>
  </si>
  <si>
    <t>Terça-Feira</t>
  </si>
  <si>
    <t>Quarta-Feira</t>
  </si>
  <si>
    <t>Quinta-Feira</t>
  </si>
  <si>
    <t>Sexta-Feira</t>
  </si>
  <si>
    <t>Sábado</t>
  </si>
  <si>
    <t>Domingo</t>
  </si>
  <si>
    <t>a</t>
  </si>
  <si>
    <t>c</t>
  </si>
  <si>
    <t>g</t>
  </si>
  <si>
    <t>h</t>
  </si>
  <si>
    <t>j</t>
  </si>
  <si>
    <t>PRESENÇA</t>
  </si>
  <si>
    <t>FALTA</t>
  </si>
  <si>
    <t>SEM AULA</t>
  </si>
  <si>
    <t>Hoje</t>
  </si>
  <si>
    <t>TRABALHO</t>
  </si>
  <si>
    <t>MATÉRIA</t>
  </si>
  <si>
    <t>DATA DE ENTREGA DO TRABALHO</t>
  </si>
  <si>
    <t>DATA QUE FOI PASSADO O TRABALHO</t>
  </si>
  <si>
    <t>MENÇÃO</t>
  </si>
  <si>
    <t>SAÍDA</t>
  </si>
  <si>
    <t>INTERVALO</t>
  </si>
  <si>
    <t>Lista de presença</t>
  </si>
  <si>
    <t>e faltas</t>
  </si>
  <si>
    <t>Presenças</t>
  </si>
  <si>
    <t>Aulas dadas</t>
  </si>
  <si>
    <t>Frequencia</t>
  </si>
  <si>
    <t>i</t>
  </si>
  <si>
    <t>U</t>
  </si>
  <si>
    <t>ENTREGUE</t>
  </si>
  <si>
    <t>ENTREGUE COM ATRASO</t>
  </si>
  <si>
    <t>STATUS</t>
  </si>
  <si>
    <t>PENDENTE</t>
  </si>
  <si>
    <t>MB</t>
  </si>
  <si>
    <t>NÚMERO</t>
  </si>
  <si>
    <t>ANALISE</t>
  </si>
  <si>
    <t>GEOGRAFIA 1 BIMESTRE PLANALTO PESQUISA</t>
  </si>
  <si>
    <t>Segunda</t>
  </si>
  <si>
    <t>Terça</t>
  </si>
  <si>
    <t>Quarta</t>
  </si>
  <si>
    <t>Quinta</t>
  </si>
  <si>
    <t>Sexta</t>
  </si>
  <si>
    <t>k</t>
  </si>
  <si>
    <t>t</t>
  </si>
  <si>
    <t>Horário</t>
  </si>
  <si>
    <t>Organizar por</t>
  </si>
  <si>
    <t>MATEMÁTICA</t>
  </si>
  <si>
    <t>:)</t>
  </si>
  <si>
    <t>JH</t>
  </si>
  <si>
    <t>GFDFGFDFGDFGDFGDF F GDFG F</t>
  </si>
  <si>
    <t>z</t>
  </si>
  <si>
    <t>TRABALHO SOBRE A REVOLUÇÃO FRENCESA</t>
  </si>
  <si>
    <t>FGSDGFF</t>
  </si>
  <si>
    <t>FÍSICA</t>
  </si>
  <si>
    <t>PORTUGUÊS</t>
  </si>
  <si>
    <t>QUÍMICA</t>
  </si>
  <si>
    <t>ED</t>
  </si>
  <si>
    <t>PROJETOS</t>
  </si>
  <si>
    <t>INGLÊS</t>
  </si>
  <si>
    <t>fdsfsdf fd sdf</t>
  </si>
  <si>
    <t>mb</t>
  </si>
  <si>
    <t>FDSFSDF FD SDF</t>
  </si>
  <si>
    <t>Aulas Dadas</t>
  </si>
  <si>
    <t>Faltas</t>
  </si>
  <si>
    <t>Frequência(%)</t>
  </si>
  <si>
    <t>SIGA</t>
  </si>
  <si>
    <t>EXCEL</t>
  </si>
  <si>
    <t>Guarujá</t>
  </si>
  <si>
    <t>Santos</t>
  </si>
  <si>
    <t>PRESENÇAS</t>
  </si>
  <si>
    <t>FALTAS</t>
  </si>
  <si>
    <t>M</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</si>
</sst>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
    <numFmt numFmtId="164" formatCode="[$-F800]dddd\,\ mmmm\ dd\,\ yyyy"/>
  </numFmts>
  <fonts count="23" x14ac:knownFonts="1">
    <font>
      <sz val="11"/>
      <color theme="1"/>
      <name val="Calibri"/>
      <family val="2"/>
      <scheme val="minor"/>
    </font>
    <font>
      <sz val="11"/>
      <color theme="0"/>
      <name val="Calibri"/>
      <family val="2"/>
      <scheme val="minor"/>
    </font>
    <font>
      <sz val="8"/>
      <name val="Calibri"/>
      <family val="2"/>
      <scheme val="minor"/>
    </font>
    <font>
      <sz val="11"/>
      <color theme="1"/>
      <name val="Bauhaus 93"/>
      <family val="5"/>
    </font>
    <font>
      <sz val="11"/>
      <color theme="1"/>
      <name val="Aharoni"/>
      <charset val="177"/>
    </font>
    <font>
      <sz val="11"/>
      <color theme="1"/>
      <name val="Calibri"/>
      <family val="2"/>
      <scheme val="minor"/>
    </font>
    <font>
      <sz val="11"/>
      <name val="Calibri"/>
      <family val="2"/>
      <scheme val="minor"/>
    </font>
    <font>
      <sz val="14"/>
      <color theme="0"/>
      <name val="Aharoni"/>
      <charset val="177"/>
    </font>
    <font>
      <sz val="20"/>
      <color theme="0"/>
      <name val="Calibri"/>
      <family val="2"/>
      <scheme val="minor"/>
    </font>
    <font>
      <sz val="14"/>
      <color theme="1"/>
      <name val="Calibri"/>
      <family val="2"/>
      <scheme val="minor"/>
    </font>
    <font>
      <sz val="14"/>
      <color theme="0"/>
      <name val="Calibri"/>
      <family val="2"/>
      <scheme val="minor"/>
    </font>
    <font>
      <sz val="14"/>
      <name val="Calibri"/>
      <family val="2"/>
      <scheme val="minor"/>
    </font>
    <font>
      <sz val="12"/>
      <color theme="0"/>
      <name val="Aharoni"/>
      <charset val="177"/>
    </font>
    <font>
      <sz val="11"/>
      <color theme="1" tint="0.249977111117893"/>
      <name val="Calibri"/>
      <family val="2"/>
      <scheme val="minor"/>
    </font>
    <font>
      <b/>
      <i/>
      <sz val="11"/>
      <color theme="0"/>
      <name val="Calibri"/>
      <family val="2"/>
      <scheme val="minor"/>
    </font>
    <font>
      <b/>
      <i/>
      <sz val="11"/>
      <color theme="1" tint="0.249977111117893"/>
      <name val="Calibri"/>
      <family val="2"/>
      <scheme val="minor"/>
    </font>
    <font>
      <sz val="11"/>
      <color theme="2" tint="-0.499984740745262"/>
      <name val="Calibri"/>
      <family val="2"/>
      <scheme val="minor"/>
    </font>
    <font>
      <b/>
      <i/>
      <sz val="11"/>
      <color theme="2" tint="-0.499984740745262"/>
      <name val="Calibri"/>
      <family val="2"/>
      <scheme val="minor"/>
    </font>
    <font>
      <b/>
      <sz val="7"/>
      <color rgb="FF000000"/>
      <name val="Verdana"/>
      <family val="2"/>
    </font>
    <font>
      <sz val="9"/>
      <color rgb="FF050505"/>
      <name val="Segoe UI Historic"/>
      <family val="2"/>
    </font>
    <font>
      <sz val="9"/>
      <color theme="1"/>
      <name val="Verdana"/>
      <family val="2"/>
    </font>
    <font>
      <b/>
      <sz val="9"/>
      <color rgb="FF00B2B2"/>
      <name val="Verdana"/>
      <family val="2"/>
    </font>
    <font>
      <b/>
      <sz val="9"/>
      <color rgb="FF363636"/>
      <name val="Verdana"/>
      <family val="2"/>
    </font>
  </fonts>
  <fills count="16">
    <fill>
      <patternFill patternType="none"/>
    </fill>
    <fill>
      <patternFill patternType="gray125"/>
    </fill>
    <fill>
      <patternFill patternType="solid">
        <fgColor theme="9"/>
        <bgColor indexed="64"/>
      </patternFill>
    </fill>
    <fill>
      <patternFill patternType="solid">
        <fgColor theme="9" tint="-0.499984740745262"/>
        <bgColor indexed="64"/>
      </patternFill>
    </fill>
    <fill>
      <patternFill patternType="solid">
        <fgColor theme="9" tint="-0.249977111117893"/>
        <bgColor indexed="64"/>
      </patternFill>
    </fill>
    <fill>
      <patternFill patternType="solid">
        <fgColor theme="9" tint="0.39997558519241921"/>
        <bgColor indexed="64"/>
      </patternFill>
    </fill>
    <fill>
      <patternFill patternType="solid">
        <fgColor theme="9" tint="0.79998168889431442"/>
        <bgColor indexed="64"/>
      </patternFill>
    </fill>
    <fill>
      <patternFill patternType="solid">
        <fgColor theme="9" tint="0.59999389629810485"/>
        <bgColor indexed="64"/>
      </patternFill>
    </fill>
    <fill>
      <patternFill patternType="solid">
        <fgColor theme="1" tint="0.249977111117893"/>
        <bgColor indexed="64"/>
      </patternFill>
    </fill>
    <fill>
      <patternFill patternType="solid">
        <fgColor theme="1" tint="0.34998626667073579"/>
        <bgColor indexed="64"/>
      </patternFill>
    </fill>
    <fill>
      <patternFill patternType="solid">
        <fgColor rgb="FFFFC000"/>
        <bgColor indexed="64"/>
      </patternFill>
    </fill>
    <fill>
      <patternFill patternType="solid">
        <fgColor theme="1" tint="0.14999847407452621"/>
        <bgColor indexed="64"/>
      </patternFill>
    </fill>
    <fill>
      <patternFill patternType="solid">
        <fgColor theme="1"/>
        <bgColor indexed="64"/>
      </patternFill>
    </fill>
    <fill>
      <patternFill patternType="solid">
        <fgColor theme="1" tint="0.499984740745262"/>
        <bgColor indexed="64"/>
      </patternFill>
    </fill>
    <fill>
      <patternFill patternType="solid">
        <fgColor theme="7" tint="0.79998168889431442"/>
        <bgColor indexed="64"/>
      </patternFill>
    </fill>
    <fill>
      <patternFill patternType="solid">
        <fgColor rgb="FFFFFFFF"/>
        <bgColor indexed="64"/>
      </patternFill>
    </fill>
  </fills>
  <borders count="17">
    <border>
      <left/>
      <right/>
      <top/>
      <bottom/>
      <diagonal/>
    </border>
    <border>
      <left style="thin">
        <color indexed="64"/>
      </left>
      <right/>
      <top style="thin">
        <color indexed="64"/>
      </top>
      <bottom/>
      <diagonal/>
    </border>
    <border>
      <left style="thin">
        <color indexed="64"/>
      </left>
      <right/>
      <top/>
      <bottom style="thin">
        <color indexed="64"/>
      </bottom>
      <diagonal/>
    </border>
    <border>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diagonal/>
    </border>
    <border>
      <left style="thin">
        <color indexed="64"/>
      </left>
      <right style="thin">
        <color indexed="64"/>
      </right>
      <top style="thin">
        <color indexed="64"/>
      </top>
      <bottom/>
      <diagonal/>
    </border>
    <border>
      <left style="medium">
        <color rgb="FF007D7D"/>
      </left>
      <right/>
      <top style="medium">
        <color rgb="FF007D7D"/>
      </top>
      <bottom/>
      <diagonal/>
    </border>
    <border>
      <left/>
      <right/>
      <top style="medium">
        <color rgb="FF007D7D"/>
      </top>
      <bottom/>
      <diagonal/>
    </border>
    <border>
      <left/>
      <right style="medium">
        <color rgb="FF007D7D"/>
      </right>
      <top style="medium">
        <color rgb="FF007D7D"/>
      </top>
      <bottom/>
      <diagonal/>
    </border>
    <border>
      <left style="medium">
        <color rgb="FF007D7D"/>
      </left>
      <right/>
      <top/>
      <bottom style="medium">
        <color rgb="FF007D7D"/>
      </bottom>
      <diagonal/>
    </border>
    <border>
      <left/>
      <right/>
      <top/>
      <bottom style="medium">
        <color rgb="FF007D7D"/>
      </bottom>
      <diagonal/>
    </border>
    <border>
      <left/>
      <right style="medium">
        <color rgb="FF007D7D"/>
      </right>
      <top/>
      <bottom style="medium">
        <color rgb="FF007D7D"/>
      </bottom>
      <diagonal/>
    </border>
  </borders>
  <cellStyleXfs count="2">
    <xf numFmtId="0" fontId="0" fillId="0" borderId="0"/>
    <xf numFmtId="9" fontId="5" fillId="0" borderId="0" applyFont="0" applyFill="0" applyBorder="0" applyAlignment="0" applyProtection="0"/>
  </cellStyleXfs>
  <cellXfs count="103">
    <xf numFmtId="0" fontId="0" fillId="0" borderId="0" xfId="0"/>
    <xf numFmtId="0" fontId="0" fillId="0" borderId="0" xfId="0" applyAlignment="1">
      <alignment horizontal="center"/>
    </xf>
    <xf numFmtId="0" fontId="3" fillId="0" borderId="0" xfId="0" applyFont="1" applyAlignment="1">
      <alignment horizontal="center"/>
    </xf>
    <xf numFmtId="0" fontId="4" fillId="0" borderId="0" xfId="0" applyFont="1" applyAlignment="1">
      <alignment horizontal="center"/>
    </xf>
    <xf numFmtId="0" fontId="0" fillId="4" borderId="0" xfId="0" applyFill="1"/>
    <xf numFmtId="0" fontId="0" fillId="0" borderId="0" xfId="0" applyAlignment="1" applyProtection="1">
      <alignment horizontal="center" vertical="center"/>
    </xf>
    <xf numFmtId="0" fontId="0" fillId="0" borderId="0" xfId="0" applyAlignment="1">
      <alignment horizontal="center" vertical="center"/>
    </xf>
    <xf numFmtId="14" fontId="1" fillId="4" borderId="0" xfId="0" applyNumberFormat="1" applyFont="1" applyFill="1"/>
    <xf numFmtId="14" fontId="6" fillId="5" borderId="0" xfId="0" applyNumberFormat="1" applyFont="1" applyFill="1"/>
    <xf numFmtId="14" fontId="0" fillId="3" borderId="0" xfId="0" applyNumberFormat="1" applyFill="1"/>
    <xf numFmtId="0" fontId="1" fillId="4" borderId="0" xfId="0" applyFont="1" applyFill="1" applyAlignment="1">
      <alignment horizontal="center" vertical="center"/>
    </xf>
    <xf numFmtId="0" fontId="6" fillId="5" borderId="0" xfId="0" applyFont="1" applyFill="1" applyAlignment="1">
      <alignment horizontal="center" vertical="center"/>
    </xf>
    <xf numFmtId="14" fontId="7" fillId="3" borderId="0" xfId="0" applyNumberFormat="1" applyFont="1" applyFill="1" applyAlignment="1" applyProtection="1">
      <alignment horizontal="center" vertical="center"/>
    </xf>
    <xf numFmtId="14" fontId="7" fillId="3" borderId="1" xfId="0" applyNumberFormat="1" applyFont="1" applyFill="1" applyBorder="1" applyAlignment="1" applyProtection="1">
      <alignment horizontal="center" vertical="center"/>
    </xf>
    <xf numFmtId="14" fontId="7" fillId="3" borderId="2" xfId="0" applyNumberFormat="1" applyFont="1" applyFill="1" applyBorder="1" applyAlignment="1" applyProtection="1">
      <alignment horizontal="center" vertical="center"/>
    </xf>
    <xf numFmtId="0" fontId="1" fillId="4" borderId="0" xfId="0" applyFont="1" applyFill="1"/>
    <xf numFmtId="9" fontId="1" fillId="4" borderId="0" xfId="1" applyNumberFormat="1" applyFont="1" applyFill="1"/>
    <xf numFmtId="0" fontId="0" fillId="0" borderId="0" xfId="0" applyNumberFormat="1"/>
    <xf numFmtId="14" fontId="7" fillId="4" borderId="0" xfId="0" applyNumberFormat="1" applyFont="1" applyFill="1" applyAlignment="1" applyProtection="1">
      <alignment horizontal="center" vertical="center"/>
    </xf>
    <xf numFmtId="14" fontId="7" fillId="4" borderId="2" xfId="0" applyNumberFormat="1" applyFont="1" applyFill="1" applyBorder="1" applyAlignment="1" applyProtection="1">
      <alignment horizontal="center" vertical="center"/>
    </xf>
    <xf numFmtId="0" fontId="1" fillId="0" borderId="0" xfId="0" applyNumberFormat="1" applyFont="1" applyAlignment="1">
      <alignment horizontal="center" vertical="center"/>
    </xf>
    <xf numFmtId="0" fontId="0" fillId="6" borderId="4" xfId="0" applyFill="1" applyBorder="1"/>
    <xf numFmtId="0" fontId="0" fillId="7" borderId="4" xfId="0" applyFill="1" applyBorder="1"/>
    <xf numFmtId="0" fontId="0" fillId="11" borderId="0" xfId="0" applyFill="1"/>
    <xf numFmtId="14" fontId="1" fillId="12" borderId="0" xfId="0" applyNumberFormat="1" applyFont="1" applyFill="1" applyAlignment="1">
      <alignment horizontal="left" vertical="center"/>
    </xf>
    <xf numFmtId="1" fontId="8" fillId="11" borderId="0" xfId="0" applyNumberFormat="1" applyFont="1" applyFill="1" applyAlignment="1">
      <alignment horizontal="center" vertical="center"/>
    </xf>
    <xf numFmtId="0" fontId="0" fillId="0" borderId="0" xfId="0" applyFill="1"/>
    <xf numFmtId="20" fontId="9" fillId="0" borderId="5" xfId="0" applyNumberFormat="1" applyFont="1" applyBorder="1" applyAlignment="1">
      <alignment horizontal="center" vertical="center"/>
    </xf>
    <xf numFmtId="0" fontId="9" fillId="0" borderId="6" xfId="0" applyFont="1" applyBorder="1" applyAlignment="1">
      <alignment horizontal="center" vertical="center"/>
    </xf>
    <xf numFmtId="0" fontId="9" fillId="0" borderId="2" xfId="0" applyFont="1" applyBorder="1" applyAlignment="1">
      <alignment horizontal="center" vertical="center"/>
    </xf>
    <xf numFmtId="0" fontId="10" fillId="2" borderId="4" xfId="0" applyFont="1" applyFill="1" applyBorder="1" applyAlignment="1">
      <alignment horizontal="center" vertical="center"/>
    </xf>
    <xf numFmtId="20" fontId="9" fillId="0" borderId="7" xfId="0" applyNumberFormat="1" applyFont="1" applyBorder="1" applyAlignment="1">
      <alignment horizontal="center" vertical="center"/>
    </xf>
    <xf numFmtId="0" fontId="9" fillId="0" borderId="4" xfId="0" applyFont="1" applyBorder="1" applyAlignment="1">
      <alignment horizontal="center" vertical="center"/>
    </xf>
    <xf numFmtId="0" fontId="9" fillId="0" borderId="8" xfId="0" applyFont="1" applyBorder="1" applyAlignment="1">
      <alignment horizontal="center" vertical="center"/>
    </xf>
    <xf numFmtId="0" fontId="10" fillId="8" borderId="4" xfId="0" applyFont="1" applyFill="1" applyBorder="1" applyAlignment="1">
      <alignment horizontal="center" vertical="center"/>
    </xf>
    <xf numFmtId="0" fontId="11" fillId="10" borderId="4" xfId="0" applyFont="1" applyFill="1" applyBorder="1" applyAlignment="1">
      <alignment horizontal="center" vertical="center"/>
    </xf>
    <xf numFmtId="0" fontId="11" fillId="10" borderId="8" xfId="0" applyFont="1" applyFill="1" applyBorder="1" applyAlignment="1">
      <alignment horizontal="center" vertical="center"/>
    </xf>
    <xf numFmtId="20" fontId="9" fillId="0" borderId="9" xfId="0" applyNumberFormat="1" applyFont="1" applyBorder="1" applyAlignment="1">
      <alignment horizontal="center" vertical="center"/>
    </xf>
    <xf numFmtId="0" fontId="9" fillId="0" borderId="10" xfId="0" applyFont="1" applyBorder="1" applyAlignment="1">
      <alignment horizontal="center" vertical="center"/>
    </xf>
    <xf numFmtId="0" fontId="12" fillId="8" borderId="3" xfId="0" applyFont="1" applyFill="1" applyBorder="1" applyAlignment="1">
      <alignment horizontal="left" vertical="center"/>
    </xf>
    <xf numFmtId="0" fontId="0" fillId="11" borderId="4" xfId="0" applyFill="1" applyBorder="1"/>
    <xf numFmtId="1" fontId="0" fillId="11" borderId="4" xfId="0" applyNumberFormat="1" applyFill="1" applyBorder="1"/>
    <xf numFmtId="0" fontId="0" fillId="13" borderId="4" xfId="0" applyFill="1" applyBorder="1"/>
    <xf numFmtId="14" fontId="0" fillId="11" borderId="4" xfId="0" applyNumberFormat="1" applyFill="1" applyBorder="1"/>
    <xf numFmtId="0" fontId="0" fillId="11" borderId="0" xfId="0" applyFill="1" applyAlignment="1"/>
    <xf numFmtId="1" fontId="1" fillId="0" borderId="10" xfId="0" applyNumberFormat="1" applyFont="1" applyFill="1" applyBorder="1" applyAlignment="1">
      <alignment horizontal="center" vertical="center"/>
    </xf>
    <xf numFmtId="0" fontId="1" fillId="0" borderId="4" xfId="0" applyNumberFormat="1" applyFont="1" applyFill="1" applyBorder="1" applyAlignment="1">
      <alignment horizontal="center" vertical="center"/>
    </xf>
    <xf numFmtId="1" fontId="1" fillId="0" borderId="4" xfId="0" applyNumberFormat="1" applyFont="1" applyFill="1" applyBorder="1" applyAlignment="1">
      <alignment horizontal="center" vertical="center"/>
    </xf>
    <xf numFmtId="0" fontId="1" fillId="0" borderId="0" xfId="0" applyNumberFormat="1" applyFont="1" applyFill="1" applyBorder="1" applyAlignment="1">
      <alignment horizontal="center" vertical="center"/>
    </xf>
    <xf numFmtId="0" fontId="1" fillId="0" borderId="0" xfId="0" applyFont="1" applyFill="1" applyBorder="1" applyAlignment="1">
      <alignment horizontal="center" vertical="center"/>
    </xf>
    <xf numFmtId="164" fontId="1" fillId="0" borderId="0" xfId="0" applyNumberFormat="1" applyFont="1" applyFill="1" applyBorder="1" applyAlignment="1">
      <alignment horizontal="center" vertical="center"/>
    </xf>
    <xf numFmtId="0" fontId="1" fillId="0" borderId="0" xfId="0" applyFont="1" applyFill="1" applyAlignment="1">
      <alignment horizontal="center" vertical="center"/>
    </xf>
    <xf numFmtId="0" fontId="1" fillId="0" borderId="4" xfId="0" applyFont="1" applyFill="1" applyBorder="1" applyAlignment="1">
      <alignment horizontal="center" vertical="center"/>
    </xf>
    <xf numFmtId="164" fontId="1" fillId="0" borderId="4" xfId="0" applyNumberFormat="1" applyFont="1" applyFill="1" applyBorder="1" applyAlignment="1">
      <alignment horizontal="center" vertical="center"/>
    </xf>
    <xf numFmtId="0" fontId="1" fillId="0" borderId="10" xfId="0" applyFont="1" applyFill="1" applyBorder="1" applyAlignment="1">
      <alignment horizontal="center" vertical="center"/>
    </xf>
    <xf numFmtId="14" fontId="1" fillId="0" borderId="10" xfId="0" applyNumberFormat="1" applyFont="1" applyFill="1" applyBorder="1" applyAlignment="1">
      <alignment horizontal="center" vertical="center"/>
    </xf>
    <xf numFmtId="164" fontId="1" fillId="0" borderId="10" xfId="0" applyNumberFormat="1" applyFont="1" applyFill="1" applyBorder="1" applyAlignment="1">
      <alignment horizontal="center" vertical="center"/>
    </xf>
    <xf numFmtId="14" fontId="1" fillId="0" borderId="4" xfId="0" applyNumberFormat="1" applyFont="1" applyFill="1" applyBorder="1" applyAlignment="1">
      <alignment horizontal="center" vertical="center"/>
    </xf>
    <xf numFmtId="0" fontId="0" fillId="9" borderId="0" xfId="0" applyFill="1"/>
    <xf numFmtId="0" fontId="0" fillId="9" borderId="0" xfId="0" applyFill="1" applyAlignment="1"/>
    <xf numFmtId="0" fontId="1" fillId="9" borderId="4" xfId="0" applyFont="1" applyFill="1" applyBorder="1" applyAlignment="1">
      <alignment horizontal="center" vertical="center"/>
    </xf>
    <xf numFmtId="14" fontId="1" fillId="9" borderId="4" xfId="0" applyNumberFormat="1" applyFont="1" applyFill="1" applyBorder="1" applyAlignment="1">
      <alignment horizontal="center" vertical="center"/>
    </xf>
    <xf numFmtId="0" fontId="0" fillId="14" borderId="0" xfId="0" applyFill="1" applyAlignment="1">
      <alignment horizontal="left" vertical="center"/>
    </xf>
    <xf numFmtId="164" fontId="0" fillId="14" borderId="0" xfId="0" applyNumberFormat="1" applyFill="1" applyAlignment="1">
      <alignment horizontal="center" vertical="center"/>
    </xf>
    <xf numFmtId="0" fontId="0" fillId="14" borderId="0" xfId="0" applyFill="1"/>
    <xf numFmtId="0" fontId="0" fillId="14" borderId="0" xfId="0" applyFill="1" applyAlignment="1">
      <alignment horizontal="center" vertical="center"/>
    </xf>
    <xf numFmtId="0" fontId="13" fillId="0" borderId="0" xfId="0" applyFont="1" applyFill="1" applyBorder="1" applyAlignment="1">
      <alignment horizontal="center" vertical="center"/>
    </xf>
    <xf numFmtId="164" fontId="13" fillId="0" borderId="0" xfId="0" applyNumberFormat="1" applyFont="1" applyFill="1" applyBorder="1" applyAlignment="1">
      <alignment horizontal="center" vertical="center"/>
    </xf>
    <xf numFmtId="0" fontId="13" fillId="0" borderId="0" xfId="0" applyFont="1" applyFill="1" applyAlignment="1">
      <alignment horizontal="center" vertical="center"/>
    </xf>
    <xf numFmtId="0" fontId="14" fillId="0" borderId="0" xfId="0" applyFont="1" applyFill="1" applyAlignment="1">
      <alignment horizontal="center" vertical="center"/>
    </xf>
    <xf numFmtId="0" fontId="15" fillId="0" borderId="0" xfId="0" applyFont="1" applyFill="1" applyBorder="1" applyAlignment="1">
      <alignment horizontal="center" vertical="center"/>
    </xf>
    <xf numFmtId="0" fontId="14" fillId="0" borderId="4" xfId="0" applyFont="1" applyFill="1" applyBorder="1" applyAlignment="1">
      <alignment horizontal="center" vertical="center"/>
    </xf>
    <xf numFmtId="0" fontId="14" fillId="0" borderId="10" xfId="0" applyFont="1" applyFill="1" applyBorder="1" applyAlignment="1">
      <alignment horizontal="center" vertical="center"/>
    </xf>
    <xf numFmtId="1" fontId="1" fillId="0" borderId="10" xfId="0" applyNumberFormat="1" applyFont="1" applyFill="1" applyBorder="1"/>
    <xf numFmtId="0" fontId="14" fillId="0" borderId="0" xfId="0" applyFont="1" applyFill="1" applyBorder="1" applyAlignment="1">
      <alignment horizontal="center" vertical="center"/>
    </xf>
    <xf numFmtId="0" fontId="14" fillId="0" borderId="10" xfId="0" applyFont="1" applyFill="1" applyBorder="1"/>
    <xf numFmtId="0" fontId="1" fillId="0" borderId="10" xfId="0" applyFont="1" applyFill="1" applyBorder="1"/>
    <xf numFmtId="0" fontId="13" fillId="0" borderId="4" xfId="0" applyFont="1" applyFill="1" applyBorder="1" applyAlignment="1">
      <alignment horizontal="center" vertical="center"/>
    </xf>
    <xf numFmtId="0" fontId="16" fillId="0" borderId="10" xfId="0" applyNumberFormat="1" applyFont="1" applyFill="1" applyBorder="1" applyAlignment="1">
      <alignment horizontal="center" vertical="center"/>
    </xf>
    <xf numFmtId="0" fontId="17" fillId="0" borderId="10" xfId="0" applyFont="1" applyFill="1" applyBorder="1" applyAlignment="1">
      <alignment horizontal="center" vertical="center"/>
    </xf>
    <xf numFmtId="164" fontId="16" fillId="0" borderId="10" xfId="0" applyNumberFormat="1" applyFont="1" applyFill="1" applyBorder="1" applyAlignment="1">
      <alignment horizontal="center" vertical="center"/>
    </xf>
    <xf numFmtId="0" fontId="16" fillId="0" borderId="10" xfId="0" applyFont="1" applyFill="1" applyBorder="1" applyAlignment="1">
      <alignment horizontal="center" vertical="center"/>
    </xf>
    <xf numFmtId="0" fontId="16" fillId="0" borderId="0" xfId="0" applyFont="1" applyFill="1" applyAlignment="1">
      <alignment horizontal="center" vertical="center"/>
    </xf>
    <xf numFmtId="0" fontId="18" fillId="15" borderId="11" xfId="0" applyFont="1" applyFill="1" applyBorder="1" applyAlignment="1">
      <alignment vertical="center" wrapText="1"/>
    </xf>
    <xf numFmtId="0" fontId="18" fillId="15" borderId="12" xfId="0" applyFont="1" applyFill="1" applyBorder="1" applyAlignment="1">
      <alignment vertical="center" wrapText="1"/>
    </xf>
    <xf numFmtId="0" fontId="18" fillId="15" borderId="13" xfId="0" applyFont="1" applyFill="1" applyBorder="1" applyAlignment="1">
      <alignment vertical="center" wrapText="1"/>
    </xf>
    <xf numFmtId="0" fontId="18" fillId="15" borderId="14" xfId="0" applyFont="1" applyFill="1" applyBorder="1" applyAlignment="1">
      <alignment vertical="center" wrapText="1"/>
    </xf>
    <xf numFmtId="0" fontId="18" fillId="15" borderId="15" xfId="0" applyFont="1" applyFill="1" applyBorder="1" applyAlignment="1">
      <alignment vertical="center" wrapText="1"/>
    </xf>
    <xf numFmtId="0" fontId="18" fillId="15" borderId="16" xfId="0" applyFont="1" applyFill="1" applyBorder="1" applyAlignment="1">
      <alignment vertical="center" wrapText="1"/>
    </xf>
    <xf numFmtId="22" fontId="1" fillId="11" borderId="0" xfId="0" applyNumberFormat="1" applyFont="1" applyFill="1"/>
    <xf numFmtId="1" fontId="0" fillId="0" borderId="0" xfId="0" applyNumberFormat="1"/>
    <xf numFmtId="10" fontId="0" fillId="0" borderId="0" xfId="0" applyNumberFormat="1"/>
    <xf numFmtId="2" fontId="0" fillId="0" borderId="0" xfId="0" applyNumberFormat="1" applyAlignment="1">
      <alignment horizontal="center"/>
    </xf>
    <xf numFmtId="1" fontId="0" fillId="0" borderId="0" xfId="0" applyNumberFormat="1" applyAlignment="1">
      <alignment horizontal="center"/>
    </xf>
    <xf numFmtId="10" fontId="0" fillId="0" borderId="0" xfId="0" applyNumberFormat="1" applyAlignment="1">
      <alignment horizontal="center"/>
    </xf>
    <xf numFmtId="0" fontId="18" fillId="15" borderId="0" xfId="0" applyFont="1" applyFill="1" applyBorder="1" applyAlignment="1">
      <alignment vertical="center" wrapText="1"/>
    </xf>
    <xf numFmtId="0" fontId="19" fillId="0" borderId="0" xfId="0" applyFont="1"/>
    <xf numFmtId="0" fontId="1" fillId="11" borderId="0" xfId="0" applyFont="1" applyFill="1" applyAlignment="1">
      <alignment horizontal="center" vertical="center"/>
    </xf>
    <xf numFmtId="164" fontId="1" fillId="11" borderId="0" xfId="0" applyNumberFormat="1" applyFont="1" applyFill="1" applyAlignment="1">
      <alignment horizontal="center" vertical="center"/>
    </xf>
    <xf numFmtId="0" fontId="21" fillId="15" borderId="0" xfId="0" applyFont="1" applyFill="1" applyAlignment="1">
      <alignment vertical="center" wrapText="1"/>
    </xf>
    <xf numFmtId="0" fontId="22" fillId="15" borderId="0" xfId="0" applyFont="1" applyFill="1" applyAlignment="1">
      <alignment vertical="center" wrapText="1"/>
    </xf>
    <xf numFmtId="0" fontId="20" fillId="15" borderId="0" xfId="0" applyFont="1" applyFill="1" applyAlignment="1">
      <alignment vertical="center" wrapText="1"/>
    </xf>
    <xf numFmtId="0" fontId="0" fillId="12" borderId="0" xfId="0" applyFill="1" applyAlignment="1">
      <alignment horizontal="center"/>
    </xf>
  </cellXfs>
  <cellStyles count="2">
    <cellStyle name="Normal" xfId="0" builtinId="0"/>
    <cellStyle name="Porcentagem" xfId="1" builtinId="5"/>
  </cellStyles>
  <dxfs count="41">
    <dxf>
      <font>
        <strike val="0"/>
        <outline val="0"/>
        <shadow val="0"/>
        <u val="none"/>
        <vertAlign val="baseline"/>
        <sz val="11"/>
        <color theme="0"/>
        <name val="Calibri"/>
        <family val="2"/>
        <scheme val="minor"/>
      </font>
      <fill>
        <patternFill patternType="none">
          <fgColor indexed="64"/>
          <bgColor auto="1"/>
        </patternFill>
      </fill>
      <alignment horizontal="center" vertical="center" textRotation="0" wrapText="0" indent="0" justifyLastLine="0" shrinkToFit="0" readingOrder="0"/>
    </dxf>
    <dxf>
      <font>
        <strike val="0"/>
        <outline val="0"/>
        <shadow val="0"/>
        <u val="none"/>
        <vertAlign val="baseline"/>
        <sz val="11"/>
        <color theme="0"/>
        <name val="Calibri"/>
        <family val="2"/>
        <scheme val="minor"/>
      </font>
      <fill>
        <patternFill patternType="none">
          <fgColor indexed="64"/>
          <bgColor auto="1"/>
        </patternFill>
      </fill>
      <alignment horizontal="center" vertical="center" textRotation="0" wrapText="0" indent="0" justifyLastLine="0" shrinkToFit="0" readingOrder="0"/>
    </dxf>
    <dxf>
      <font>
        <strike val="0"/>
        <outline val="0"/>
        <shadow val="0"/>
        <u val="none"/>
        <vertAlign val="baseline"/>
        <sz val="11"/>
        <color theme="0"/>
        <name val="Calibri"/>
        <family val="2"/>
        <scheme val="minor"/>
      </font>
      <fill>
        <patternFill patternType="none">
          <fgColor indexed="64"/>
          <bgColor auto="1"/>
        </patternFill>
      </fill>
      <alignment horizontal="center" vertical="center" textRotation="0" wrapText="0" indent="0" justifyLastLine="0" shrinkToFit="0" readingOrder="0"/>
    </dxf>
    <dxf>
      <font>
        <strike val="0"/>
        <outline val="0"/>
        <shadow val="0"/>
        <u val="none"/>
        <vertAlign val="baseline"/>
        <sz val="11"/>
        <color theme="0"/>
        <name val="Calibri"/>
        <family val="2"/>
        <scheme val="minor"/>
      </font>
      <numFmt numFmtId="164" formatCode="[$-F800]dddd\,\ mmmm\ dd\,\ yyyy"/>
      <fill>
        <patternFill patternType="none">
          <fgColor indexed="64"/>
          <bgColor auto="1"/>
        </patternFill>
      </fill>
      <alignment horizontal="center" vertical="center" textRotation="0" wrapText="0" indent="0" justifyLastLine="0" shrinkToFit="0" readingOrder="0"/>
    </dxf>
    <dxf>
      <font>
        <strike val="0"/>
        <outline val="0"/>
        <shadow val="0"/>
        <u val="none"/>
        <vertAlign val="baseline"/>
        <sz val="11"/>
        <color theme="0"/>
        <name val="Calibri"/>
        <family val="2"/>
        <scheme val="minor"/>
      </font>
      <fill>
        <patternFill patternType="none">
          <fgColor indexed="64"/>
          <bgColor auto="1"/>
        </patternFill>
      </fill>
      <alignment horizontal="center" vertical="center" textRotation="0" wrapText="0" indent="0" justifyLastLine="0" shrinkToFit="0" readingOrder="0"/>
    </dxf>
    <dxf>
      <font>
        <strike val="0"/>
        <outline val="0"/>
        <shadow val="0"/>
        <u val="none"/>
        <vertAlign val="baseline"/>
        <sz val="11"/>
        <color theme="0"/>
        <name val="Calibri"/>
        <family val="2"/>
        <scheme val="minor"/>
      </font>
      <numFmt numFmtId="164" formatCode="[$-F800]dddd\,\ mmmm\ dd\,\ yyyy"/>
      <fill>
        <patternFill patternType="none">
          <fgColor indexed="64"/>
          <bgColor auto="1"/>
        </patternFill>
      </fill>
      <alignment horizontal="center" vertical="center" textRotation="0" wrapText="0" indent="0" justifyLastLine="0" shrinkToFit="0" readingOrder="0"/>
    </dxf>
    <dxf>
      <font>
        <b/>
        <i/>
        <strike val="0"/>
        <outline val="0"/>
        <shadow val="0"/>
        <u val="none"/>
        <vertAlign val="baseline"/>
        <sz val="11"/>
        <color theme="0"/>
        <name val="Calibri"/>
        <family val="2"/>
        <scheme val="minor"/>
      </font>
      <fill>
        <patternFill patternType="none">
          <fgColor indexed="64"/>
          <bgColor auto="1"/>
        </patternFill>
      </fill>
      <alignment horizontal="center" vertical="center" textRotation="0" wrapText="0" indent="0" justifyLastLine="0" shrinkToFit="0" readingOrder="0"/>
    </dxf>
    <dxf>
      <font>
        <b val="0"/>
        <i val="0"/>
        <strike val="0"/>
        <condense val="0"/>
        <extend val="0"/>
        <outline val="0"/>
        <shadow val="0"/>
        <u val="none"/>
        <vertAlign val="baseline"/>
        <sz val="11"/>
        <color theme="0"/>
        <name val="Calibri"/>
        <family val="2"/>
        <scheme val="minor"/>
      </font>
      <numFmt numFmtId="0" formatCode="General"/>
      <fill>
        <patternFill patternType="none">
          <fgColor indexed="64"/>
          <bgColor indexed="65"/>
        </patternFill>
      </fill>
      <alignment horizontal="center" vertical="center" textRotation="0" wrapText="0" indent="0" justifyLastLine="0" shrinkToFit="0" readingOrder="0"/>
    </dxf>
    <dxf>
      <font>
        <strike val="0"/>
        <outline val="0"/>
        <shadow val="0"/>
        <u val="none"/>
        <vertAlign val="baseline"/>
        <sz val="11"/>
        <color theme="0"/>
        <name val="Calibri"/>
        <family val="2"/>
        <scheme val="minor"/>
      </font>
    </dxf>
    <dxf>
      <font>
        <strike val="0"/>
        <outline val="0"/>
        <shadow val="0"/>
        <u val="none"/>
        <vertAlign val="baseline"/>
        <sz val="11"/>
        <color theme="0"/>
        <name val="Calibri"/>
        <family val="2"/>
        <scheme val="minor"/>
      </font>
      <alignment horizontal="center" vertical="center" textRotation="0" wrapText="0" indent="0" justifyLastLine="0" shrinkToFit="0" readingOrder="0"/>
    </dxf>
    <dxf>
      <font>
        <b/>
        <i/>
        <color theme="0"/>
      </font>
      <fill>
        <patternFill>
          <bgColor rgb="FF7030A0"/>
        </patternFill>
      </fill>
    </dxf>
    <dxf>
      <font>
        <b/>
        <i/>
        <color auto="1"/>
      </font>
      <fill>
        <patternFill>
          <bgColor theme="9"/>
        </patternFill>
      </fill>
    </dxf>
    <dxf>
      <font>
        <b/>
        <i/>
        <strike/>
        <color theme="0"/>
      </font>
      <fill>
        <patternFill>
          <bgColor rgb="FF002060"/>
        </patternFill>
      </fill>
    </dxf>
    <dxf>
      <font>
        <b/>
        <i/>
        <color theme="0"/>
      </font>
      <fill>
        <patternFill>
          <bgColor rgb="FFFF0000"/>
        </patternFill>
      </fill>
    </dxf>
    <dxf>
      <font>
        <b/>
        <i/>
        <color theme="0"/>
      </font>
      <fill>
        <patternFill>
          <bgColor theme="5"/>
        </patternFill>
      </fill>
    </dxf>
    <dxf>
      <font>
        <b/>
        <i/>
        <color auto="1"/>
      </font>
      <fill>
        <patternFill>
          <bgColor rgb="FFFFC000"/>
        </patternFill>
      </fill>
    </dxf>
    <dxf>
      <font>
        <b/>
        <i/>
        <strike/>
        <color theme="0"/>
      </font>
      <fill>
        <patternFill>
          <bgColor rgb="FF009A00"/>
        </patternFill>
      </fill>
    </dxf>
    <dxf>
      <font>
        <b/>
        <i/>
        <strike/>
        <color rgb="FFFFC000"/>
      </font>
      <fill>
        <patternFill>
          <bgColor rgb="FF009A00"/>
        </patternFill>
      </fill>
      <border>
        <left style="thin">
          <color auto="1"/>
        </left>
        <right style="thin">
          <color auto="1"/>
        </right>
        <top style="thin">
          <color auto="1"/>
        </top>
        <bottom style="thin">
          <color auto="1"/>
        </bottom>
      </border>
    </dxf>
    <dxf>
      <font>
        <b/>
        <i/>
        <strike val="0"/>
        <u val="none"/>
        <color auto="1"/>
      </font>
      <fill>
        <gradientFill degree="45">
          <stop position="0">
            <color theme="1"/>
          </stop>
          <stop position="1">
            <color rgb="FFFFC000"/>
          </stop>
        </gradientFill>
      </fill>
    </dxf>
    <dxf>
      <font>
        <color theme="0"/>
      </font>
      <fill>
        <patternFill>
          <bgColor rgb="FFFF0000"/>
        </patternFill>
      </fill>
    </dxf>
    <dxf>
      <font>
        <color theme="0"/>
      </font>
      <fill>
        <patternFill>
          <bgColor rgb="FF00B050"/>
        </patternFill>
      </fill>
    </dxf>
    <dxf>
      <font>
        <color rgb="FFFF0000"/>
      </font>
    </dxf>
    <dxf>
      <font>
        <color theme="0"/>
      </font>
      <fill>
        <patternFill>
          <bgColor rgb="FF00B050"/>
        </patternFill>
      </fill>
    </dxf>
    <dxf>
      <font>
        <color theme="0"/>
      </font>
      <fill>
        <patternFill>
          <bgColor rgb="FFFF0000"/>
        </patternFill>
      </fill>
    </dxf>
    <dxf>
      <font>
        <color auto="1"/>
      </font>
      <fill>
        <patternFill>
          <bgColor rgb="FFFFC000"/>
        </patternFill>
      </fill>
    </dxf>
    <dxf>
      <font>
        <b/>
        <i val="0"/>
        <color theme="0"/>
      </font>
      <fill>
        <patternFill patternType="lightDown">
          <bgColor rgb="FFFFFF00"/>
        </patternFill>
      </fill>
    </dxf>
    <dxf>
      <fill>
        <patternFill>
          <bgColor rgb="FFFFC000"/>
        </patternFill>
      </fill>
    </dxf>
    <dxf>
      <font>
        <color theme="0"/>
      </font>
      <fill>
        <patternFill>
          <bgColor rgb="FF00B050"/>
        </patternFill>
      </fill>
    </dxf>
    <dxf>
      <font>
        <color theme="0"/>
      </font>
      <fill>
        <patternFill>
          <bgColor rgb="FFFF0000"/>
        </patternFill>
      </fill>
      <border>
        <left/>
        <right/>
        <top/>
        <bottom/>
      </border>
    </dxf>
    <dxf>
      <fill>
        <patternFill>
          <bgColor rgb="FFFFC000"/>
        </patternFill>
      </fill>
    </dxf>
    <dxf>
      <font>
        <strike val="0"/>
        <outline val="0"/>
        <shadow val="0"/>
        <u val="none"/>
        <vertAlign val="baseline"/>
        <sz val="14"/>
        <name val="Calibri"/>
        <family val="2"/>
        <scheme val="minor"/>
      </font>
      <alignment horizontal="center" vertical="center" textRotation="0" wrapText="0" indent="0" justifyLastLine="0" shrinkToFit="0" readingOrder="0"/>
      <border diagonalUp="0" diagonalDown="0" outline="0">
        <left style="thin">
          <color indexed="64"/>
        </left>
        <right/>
        <top style="thin">
          <color indexed="64"/>
        </top>
        <bottom style="thin">
          <color indexed="64"/>
        </bottom>
      </border>
    </dxf>
    <dxf>
      <font>
        <strike val="0"/>
        <outline val="0"/>
        <shadow val="0"/>
        <u val="none"/>
        <vertAlign val="baseline"/>
        <sz val="14"/>
        <name val="Calibri"/>
        <family val="2"/>
        <scheme val="minor"/>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14"/>
        <name val="Calibri"/>
        <family val="2"/>
        <scheme val="minor"/>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14"/>
        <name val="Calibri"/>
        <family val="2"/>
        <scheme val="minor"/>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14"/>
        <name val="Calibri"/>
        <family val="2"/>
        <scheme val="minor"/>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14"/>
        <name val="Calibri"/>
        <family val="2"/>
        <scheme val="minor"/>
      </font>
      <numFmt numFmtId="25" formatCode="hh:mm"/>
      <alignment horizontal="center" vertical="center" textRotation="0" wrapText="0" indent="0" justifyLastLine="0" shrinkToFit="0" readingOrder="0"/>
      <border diagonalUp="0" diagonalDown="0" outline="0">
        <left/>
        <right style="thin">
          <color indexed="64"/>
        </right>
        <top style="thin">
          <color indexed="64"/>
        </top>
        <bottom style="thin">
          <color indexed="64"/>
        </bottom>
      </border>
    </dxf>
    <dxf>
      <border>
        <top style="thin">
          <color indexed="64"/>
        </top>
      </border>
    </dxf>
    <dxf>
      <border diagonalUp="0" diagonalDown="0">
        <left style="thin">
          <color indexed="64"/>
        </left>
        <right style="thin">
          <color indexed="64"/>
        </right>
        <top style="thin">
          <color indexed="64"/>
        </top>
        <bottom style="thin">
          <color indexed="64"/>
        </bottom>
      </border>
    </dxf>
    <dxf>
      <font>
        <strike val="0"/>
        <outline val="0"/>
        <shadow val="0"/>
        <u val="none"/>
        <vertAlign val="baseline"/>
        <sz val="14"/>
        <name val="Calibri"/>
        <family val="2"/>
        <scheme val="minor"/>
      </font>
      <alignment horizontal="center" vertical="center" textRotation="0" wrapText="0" indent="0" justifyLastLine="0" shrinkToFit="0" readingOrder="0"/>
    </dxf>
    <dxf>
      <border>
        <bottom style="thin">
          <color indexed="64"/>
        </bottom>
      </border>
    </dxf>
    <dxf>
      <font>
        <strike val="0"/>
        <outline val="0"/>
        <shadow val="0"/>
        <u val="none"/>
        <vertAlign val="baseline"/>
        <sz val="14"/>
        <name val="Calibri"/>
        <family val="2"/>
        <scheme val="minor"/>
      </font>
      <alignment horizontal="center" vertical="center" textRotation="0" wrapText="0" indent="0" justifyLastLine="0" shrinkToFit="0" readingOrder="0"/>
      <border diagonalUp="0" diagonalDown="0" outline="0">
        <left style="thin">
          <color indexed="64"/>
        </left>
        <right style="thin">
          <color indexed="64"/>
        </right>
        <top/>
        <bottom/>
      </border>
    </dxf>
  </dxfs>
  <tableStyles count="1" defaultTableStyle="TableStyleMedium2" defaultPivotStyle="PivotStyleLight16">
    <tableStyle name="Estilo de Tabela 1" pivot="0" count="0" xr9:uid="{C0B31277-DC3F-409D-9512-E248285B5A18}"/>
  </tableStyles>
  <colors>
    <mruColors>
      <color rgb="FF009A00"/>
      <color rgb="FF5C0000"/>
      <color rgb="FF9E0000"/>
      <color rgb="FF600000"/>
      <color rgb="FF742A2A"/>
      <color rgb="FF1A421A"/>
      <color rgb="FF286628"/>
      <color rgb="FF183C18"/>
      <color rgb="FF1F4D1F"/>
      <color rgb="FF19AB05"/>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17" Type="http://schemas.openxmlformats.org/officeDocument/2006/relationships/customXml" Target="../customXml/item3.xml"/><Relationship Id="rId2" Type="http://schemas.openxmlformats.org/officeDocument/2006/relationships/worksheet" Target="worksheets/sheet2.xml"/><Relationship Id="rId16"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onnections" Target="connections.xml"/><Relationship Id="rId5" Type="http://schemas.openxmlformats.org/officeDocument/2006/relationships/worksheet" Target="worksheets/sheet5.xml"/><Relationship Id="rId15" Type="http://schemas.openxmlformats.org/officeDocument/2006/relationships/customXml" Target="../customXml/item1.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0"/>
          <c:order val="0"/>
          <c:tx>
            <c:strRef>
              <c:f>Planilha3!$H$2</c:f>
              <c:strCache>
                <c:ptCount val="1"/>
                <c:pt idx="0">
                  <c:v>FALTAS</c:v>
                </c:pt>
              </c:strCache>
            </c:strRef>
          </c:tx>
          <c:spPr>
            <a:solidFill>
              <a:srgbClr val="FF0000"/>
            </a:solidFill>
            <a:ln>
              <a:noFill/>
            </a:ln>
            <a:effectLst>
              <a:glow rad="228600">
                <a:schemeClr val="accent1">
                  <a:satMod val="175000"/>
                  <a:alpha val="40000"/>
                </a:schemeClr>
              </a:glow>
            </a:effectLst>
          </c:spPr>
          <c:invertIfNegative val="0"/>
          <c:dLbls>
            <c:spPr>
              <a:noFill/>
              <a:ln>
                <a:noFill/>
              </a:ln>
              <a:effectLst/>
            </c:spPr>
            <c:txPr>
              <a:bodyPr rot="0" spcFirstLastPara="1" vertOverflow="ellipsis" vert="horz" wrap="square" lIns="38100" tIns="19050" rIns="38100" bIns="19050" anchor="ctr" anchorCtr="0">
                <a:spAutoFit/>
              </a:bodyPr>
              <a:lstStyle/>
              <a:p>
                <a:pPr algn="ctr">
                  <a:defRPr lang="en-US" sz="1600" b="0" i="0" u="none" strike="noStrike" kern="1200" baseline="0">
                    <a:solidFill>
                      <a:schemeClr val="bg1"/>
                    </a:solidFill>
                    <a:latin typeface="Aharoni" panose="02010803020104030203" pitchFamily="2" charset="-79"/>
                    <a:ea typeface="+mn-ea"/>
                    <a:cs typeface="Aharoni" panose="02010803020104030203" pitchFamily="2" charset="-79"/>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Planilha3!$J$1</c:f>
              <c:strCache>
                <c:ptCount val="1"/>
                <c:pt idx="0">
                  <c:v>SIGA</c:v>
                </c:pt>
              </c:strCache>
            </c:strRef>
          </c:cat>
          <c:val>
            <c:numRef>
              <c:f>Planilha3!$J$2</c:f>
              <c:numCache>
                <c:formatCode>0</c:formatCode>
                <c:ptCount val="1"/>
                <c:pt idx="0">
                  <c:v>0</c:v>
                </c:pt>
              </c:numCache>
            </c:numRef>
          </c:val>
          <c:extLst>
            <c:ext xmlns:c16="http://schemas.microsoft.com/office/drawing/2014/chart" uri="{C3380CC4-5D6E-409C-BE32-E72D297353CC}">
              <c16:uniqueId val="{00000006-C7B1-4DBB-8EB6-A9870708EC40}"/>
            </c:ext>
          </c:extLst>
        </c:ser>
        <c:ser>
          <c:idx val="1"/>
          <c:order val="1"/>
          <c:tx>
            <c:strRef>
              <c:f>Planilha3!$H$3</c:f>
              <c:strCache>
                <c:ptCount val="1"/>
                <c:pt idx="0">
                  <c:v>PRESENÇAS</c:v>
                </c:pt>
              </c:strCache>
            </c:strRef>
          </c:tx>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glow rad="228600">
                <a:schemeClr val="accent1">
                  <a:satMod val="175000"/>
                  <a:alpha val="40000"/>
                </a:schemeClr>
              </a:glow>
            </a:effectLst>
          </c:spPr>
          <c:invertIfNegative val="0"/>
          <c:dPt>
            <c:idx val="0"/>
            <c:invertIfNegative val="0"/>
            <c:bubble3D val="0"/>
            <c:spPr>
              <a:solidFill>
                <a:srgbClr val="00B050"/>
              </a:solidFill>
              <a:ln>
                <a:noFill/>
              </a:ln>
              <a:effectLst>
                <a:glow rad="228600">
                  <a:schemeClr val="accent1">
                    <a:satMod val="175000"/>
                    <a:alpha val="40000"/>
                  </a:schemeClr>
                </a:glow>
              </a:effectLst>
            </c:spPr>
            <c:extLst>
              <c:ext xmlns:c16="http://schemas.microsoft.com/office/drawing/2014/chart" uri="{C3380CC4-5D6E-409C-BE32-E72D297353CC}">
                <c16:uniqueId val="{0000000D-C7B1-4DBB-8EB6-A9870708EC40}"/>
              </c:ext>
            </c:extLst>
          </c:dPt>
          <c:dLbls>
            <c:spPr>
              <a:noFill/>
              <a:ln>
                <a:noFill/>
              </a:ln>
              <a:effectLst/>
            </c:spPr>
            <c:txPr>
              <a:bodyPr rot="0" spcFirstLastPara="1" vertOverflow="ellipsis" vert="horz" wrap="square" lIns="38100" tIns="19050" rIns="38100" bIns="19050" anchor="ctr" anchorCtr="0">
                <a:spAutoFit/>
              </a:bodyPr>
              <a:lstStyle/>
              <a:p>
                <a:pPr algn="ctr">
                  <a:defRPr lang="en-US" sz="1600" b="0" i="0" u="none" strike="noStrike" kern="1200" baseline="0">
                    <a:solidFill>
                      <a:schemeClr val="bg1"/>
                    </a:solidFill>
                    <a:latin typeface="Aharoni" panose="02010803020104030203" pitchFamily="2" charset="-79"/>
                    <a:ea typeface="+mn-ea"/>
                    <a:cs typeface="Aharoni" panose="02010803020104030203" pitchFamily="2" charset="-79"/>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Planilha3!$J$1</c:f>
              <c:strCache>
                <c:ptCount val="1"/>
                <c:pt idx="0">
                  <c:v>SIGA</c:v>
                </c:pt>
              </c:strCache>
            </c:strRef>
          </c:cat>
          <c:val>
            <c:numRef>
              <c:f>Planilha3!$J$3</c:f>
              <c:numCache>
                <c:formatCode>0</c:formatCode>
                <c:ptCount val="1"/>
                <c:pt idx="0">
                  <c:v>0</c:v>
                </c:pt>
              </c:numCache>
            </c:numRef>
          </c:val>
          <c:extLst>
            <c:ext xmlns:c16="http://schemas.microsoft.com/office/drawing/2014/chart" uri="{C3380CC4-5D6E-409C-BE32-E72D297353CC}">
              <c16:uniqueId val="{0000000C-C7B1-4DBB-8EB6-A9870708EC40}"/>
            </c:ext>
          </c:extLst>
        </c:ser>
        <c:dLbls>
          <c:dLblPos val="outEnd"/>
          <c:showLegendKey val="0"/>
          <c:showVal val="1"/>
          <c:showCatName val="0"/>
          <c:showSerName val="0"/>
          <c:showPercent val="0"/>
          <c:showBubbleSize val="0"/>
        </c:dLbls>
        <c:gapWidth val="100"/>
        <c:overlap val="-24"/>
        <c:axId val="617016464"/>
        <c:axId val="617013512"/>
      </c:barChart>
      <c:catAx>
        <c:axId val="617016464"/>
        <c:scaling>
          <c:orientation val="minMax"/>
        </c:scaling>
        <c:delete val="0"/>
        <c:axPos val="b"/>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lgn="ctr">
              <a:defRPr lang="en-US" sz="1600" b="0" i="0" u="none" strike="noStrike" kern="1200" baseline="0">
                <a:solidFill>
                  <a:schemeClr val="bg1"/>
                </a:solidFill>
                <a:latin typeface="Aharoni" panose="02010803020104030203" pitchFamily="2" charset="-79"/>
                <a:ea typeface="+mn-ea"/>
                <a:cs typeface="Aharoni" panose="02010803020104030203" pitchFamily="2" charset="-79"/>
              </a:defRPr>
            </a:pPr>
            <a:endParaRPr lang="pt-BR"/>
          </a:p>
        </c:txPr>
        <c:crossAx val="617013512"/>
        <c:crosses val="autoZero"/>
        <c:auto val="1"/>
        <c:lblAlgn val="ctr"/>
        <c:lblOffset val="100"/>
        <c:noMultiLvlLbl val="0"/>
      </c:catAx>
      <c:valAx>
        <c:axId val="617013512"/>
        <c:scaling>
          <c:orientation val="minMax"/>
        </c:scaling>
        <c:delete val="0"/>
        <c:axPos val="l"/>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1600" b="0" i="0" u="none" strike="noStrike" kern="1200" baseline="0">
                <a:solidFill>
                  <a:schemeClr val="bg1"/>
                </a:solidFill>
                <a:latin typeface="Aharoni" panose="02010803020104030203" pitchFamily="2" charset="-79"/>
                <a:ea typeface="+mn-ea"/>
                <a:cs typeface="Aharoni" panose="02010803020104030203" pitchFamily="2" charset="-79"/>
              </a:defRPr>
            </a:pPr>
            <a:endParaRPr lang="pt-BR"/>
          </a:p>
        </c:txPr>
        <c:crossAx val="617016464"/>
        <c:crosses val="autoZero"/>
        <c:crossBetween val="between"/>
      </c:valAx>
      <c:spPr>
        <a:noFill/>
        <a:ln>
          <a:noFill/>
        </a:ln>
        <a:effectLst/>
      </c:spPr>
    </c:plotArea>
    <c:plotVisOnly val="1"/>
    <c:dispBlanksAs val="gap"/>
    <c:showDLblsOverMax val="0"/>
    <c:extLst/>
  </c:chart>
  <c:spPr>
    <a:noFill/>
    <a:ln>
      <a:noFill/>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pt-BR"/>
        </a:p>
      </c:txPr>
    </c:title>
    <c:autoTitleDeleted val="0"/>
    <c:plotArea>
      <c:layout/>
      <c:barChart>
        <c:barDir val="bar"/>
        <c:grouping val="clustered"/>
        <c:varyColors val="0"/>
        <c:ser>
          <c:idx val="0"/>
          <c:order val="0"/>
          <c:tx>
            <c:strRef>
              <c:f>Planilha3!$H$2</c:f>
              <c:strCache>
                <c:ptCount val="1"/>
                <c:pt idx="0">
                  <c:v>FALTAS</c:v>
                </c:pt>
              </c:strCache>
            </c:strRef>
          </c:tx>
          <c:spPr>
            <a:solidFill>
              <a:schemeClr val="accent1"/>
            </a:solidFill>
            <a:ln>
              <a:noFill/>
            </a:ln>
            <a:effectLst/>
          </c:spPr>
          <c:invertIfNegative val="0"/>
          <c:cat>
            <c:strRef>
              <c:f>Planilha3!$J$1</c:f>
              <c:strCache>
                <c:ptCount val="1"/>
                <c:pt idx="0">
                  <c:v>SIGA</c:v>
                </c:pt>
              </c:strCache>
            </c:strRef>
          </c:cat>
          <c:val>
            <c:numRef>
              <c:f>Planilha3!$J$2</c:f>
              <c:numCache>
                <c:formatCode>0</c:formatCode>
                <c:ptCount val="1"/>
                <c:pt idx="0">
                  <c:v>0</c:v>
                </c:pt>
              </c:numCache>
            </c:numRef>
          </c:val>
          <c:extLst>
            <c:ext xmlns:c16="http://schemas.microsoft.com/office/drawing/2014/chart" uri="{C3380CC4-5D6E-409C-BE32-E72D297353CC}">
              <c16:uniqueId val="{00000000-B8EF-4B09-AA8D-DAF7E1A3724C}"/>
            </c:ext>
          </c:extLst>
        </c:ser>
        <c:ser>
          <c:idx val="1"/>
          <c:order val="1"/>
          <c:tx>
            <c:strRef>
              <c:f>Planilha3!$H$3</c:f>
              <c:strCache>
                <c:ptCount val="1"/>
                <c:pt idx="0">
                  <c:v>PRESENÇAS</c:v>
                </c:pt>
              </c:strCache>
            </c:strRef>
          </c:tx>
          <c:spPr>
            <a:solidFill>
              <a:schemeClr val="accent2"/>
            </a:solidFill>
            <a:ln>
              <a:noFill/>
            </a:ln>
            <a:effectLst/>
          </c:spPr>
          <c:invertIfNegative val="0"/>
          <c:cat>
            <c:strRef>
              <c:f>Planilha3!$J$1</c:f>
              <c:strCache>
                <c:ptCount val="1"/>
                <c:pt idx="0">
                  <c:v>SIGA</c:v>
                </c:pt>
              </c:strCache>
            </c:strRef>
          </c:cat>
          <c:val>
            <c:numRef>
              <c:f>Planilha3!#REF!</c:f>
              <c:numCache>
                <c:formatCode>General</c:formatCode>
                <c:ptCount val="1"/>
                <c:pt idx="0">
                  <c:v>1</c:v>
                </c:pt>
              </c:numCache>
            </c:numRef>
          </c:val>
          <c:extLst>
            <c:ext xmlns:c16="http://schemas.microsoft.com/office/drawing/2014/chart" uri="{C3380CC4-5D6E-409C-BE32-E72D297353CC}">
              <c16:uniqueId val="{00000001-B8EF-4B09-AA8D-DAF7E1A3724C}"/>
            </c:ext>
          </c:extLst>
        </c:ser>
        <c:dLbls>
          <c:showLegendKey val="0"/>
          <c:showVal val="0"/>
          <c:showCatName val="0"/>
          <c:showSerName val="0"/>
          <c:showPercent val="0"/>
          <c:showBubbleSize val="0"/>
        </c:dLbls>
        <c:gapWidth val="182"/>
        <c:axId val="603317352"/>
        <c:axId val="603317680"/>
      </c:barChart>
      <c:catAx>
        <c:axId val="603317352"/>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603317680"/>
        <c:crosses val="autoZero"/>
        <c:auto val="1"/>
        <c:lblAlgn val="ctr"/>
        <c:lblOffset val="100"/>
        <c:noMultiLvlLbl val="0"/>
      </c:catAx>
      <c:valAx>
        <c:axId val="603317680"/>
        <c:scaling>
          <c:orientation val="minMax"/>
        </c:scaling>
        <c:delete val="0"/>
        <c:axPos val="b"/>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60331735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0"/>
          <c:order val="0"/>
          <c:tx>
            <c:strRef>
              <c:f>Planilha3!$H$2</c:f>
              <c:strCache>
                <c:ptCount val="1"/>
                <c:pt idx="0">
                  <c:v>FALTAS</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Planilha3!$J$1</c:f>
              <c:strCache>
                <c:ptCount val="1"/>
                <c:pt idx="0">
                  <c:v>SIGA</c:v>
                </c:pt>
              </c:strCache>
            </c:strRef>
          </c:cat>
          <c:val>
            <c:numRef>
              <c:f>Planilha3!$J$2</c:f>
              <c:numCache>
                <c:formatCode>0</c:formatCode>
                <c:ptCount val="1"/>
                <c:pt idx="0">
                  <c:v>0</c:v>
                </c:pt>
              </c:numCache>
            </c:numRef>
          </c:val>
          <c:extLst>
            <c:ext xmlns:c16="http://schemas.microsoft.com/office/drawing/2014/chart" uri="{C3380CC4-5D6E-409C-BE32-E72D297353CC}">
              <c16:uniqueId val="{00000000-B23C-487B-8FC4-ECD6DC43F635}"/>
            </c:ext>
          </c:extLst>
        </c:ser>
        <c:ser>
          <c:idx val="1"/>
          <c:order val="1"/>
          <c:tx>
            <c:strRef>
              <c:f>Planilha3!$H$3</c:f>
              <c:strCache>
                <c:ptCount val="1"/>
                <c:pt idx="0">
                  <c:v>PRESENÇAS</c:v>
                </c:pt>
              </c:strCache>
            </c:strRef>
          </c:tx>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Planilha3!$J$1</c:f>
              <c:strCache>
                <c:ptCount val="1"/>
                <c:pt idx="0">
                  <c:v>SIGA</c:v>
                </c:pt>
              </c:strCache>
            </c:strRef>
          </c:cat>
          <c:val>
            <c:numRef>
              <c:f>Planilha3!$J$3</c:f>
              <c:numCache>
                <c:formatCode>0</c:formatCode>
                <c:ptCount val="1"/>
                <c:pt idx="0">
                  <c:v>0</c:v>
                </c:pt>
              </c:numCache>
            </c:numRef>
          </c:val>
          <c:extLst>
            <c:ext xmlns:c16="http://schemas.microsoft.com/office/drawing/2014/chart" uri="{C3380CC4-5D6E-409C-BE32-E72D297353CC}">
              <c16:uniqueId val="{00000001-B23C-487B-8FC4-ECD6DC43F635}"/>
            </c:ext>
          </c:extLst>
        </c:ser>
        <c:dLbls>
          <c:dLblPos val="outEnd"/>
          <c:showLegendKey val="0"/>
          <c:showVal val="1"/>
          <c:showCatName val="0"/>
          <c:showSerName val="0"/>
          <c:showPercent val="0"/>
          <c:showBubbleSize val="0"/>
        </c:dLbls>
        <c:gapWidth val="100"/>
        <c:overlap val="-24"/>
        <c:axId val="617016464"/>
        <c:axId val="617013512"/>
      </c:barChart>
      <c:catAx>
        <c:axId val="617016464"/>
        <c:scaling>
          <c:orientation val="minMax"/>
        </c:scaling>
        <c:delete val="0"/>
        <c:axPos val="b"/>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pt-BR"/>
          </a:p>
        </c:txPr>
        <c:crossAx val="617013512"/>
        <c:crosses val="autoZero"/>
        <c:auto val="1"/>
        <c:lblAlgn val="ctr"/>
        <c:lblOffset val="100"/>
        <c:noMultiLvlLbl val="0"/>
      </c:catAx>
      <c:valAx>
        <c:axId val="617013512"/>
        <c:scaling>
          <c:orientation val="minMax"/>
        </c:scaling>
        <c:delete val="0"/>
        <c:axPos val="l"/>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pt-BR"/>
          </a:p>
        </c:txPr>
        <c:crossAx val="61701646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pt-BR"/>
        </a:p>
      </c:txPr>
    </c:title>
    <c:autoTitleDeleted val="0"/>
    <c:plotArea>
      <c:layout/>
      <c:barChart>
        <c:barDir val="bar"/>
        <c:grouping val="clustered"/>
        <c:varyColors val="0"/>
        <c:ser>
          <c:idx val="0"/>
          <c:order val="0"/>
          <c:tx>
            <c:strRef>
              <c:f>Planilha12!$A$2</c:f>
              <c:strCache>
                <c:ptCount val="1"/>
                <c:pt idx="0">
                  <c:v>SIGA</c:v>
                </c:pt>
              </c:strCache>
            </c:strRef>
          </c:tx>
          <c:spPr>
            <a:solidFill>
              <a:schemeClr val="accent1"/>
            </a:solidFill>
            <a:ln>
              <a:noFill/>
            </a:ln>
            <a:effectLst/>
          </c:spPr>
          <c:invertIfNegative val="0"/>
          <c:cat>
            <c:strRef>
              <c:f>Planilha12!$B$1</c:f>
              <c:strCache>
                <c:ptCount val="1"/>
                <c:pt idx="0">
                  <c:v>Aulas Dadas</c:v>
                </c:pt>
              </c:strCache>
            </c:strRef>
          </c:cat>
          <c:val>
            <c:numRef>
              <c:f>Planilha12!$B$2</c:f>
              <c:numCache>
                <c:formatCode>General</c:formatCode>
                <c:ptCount val="1"/>
                <c:pt idx="0">
                  <c:v>0</c:v>
                </c:pt>
              </c:numCache>
            </c:numRef>
          </c:val>
          <c:extLst>
            <c:ext xmlns:c16="http://schemas.microsoft.com/office/drawing/2014/chart" uri="{C3380CC4-5D6E-409C-BE32-E72D297353CC}">
              <c16:uniqueId val="{00000000-ECBE-4D10-9BD4-ACC1DD5A4F98}"/>
            </c:ext>
          </c:extLst>
        </c:ser>
        <c:ser>
          <c:idx val="1"/>
          <c:order val="1"/>
          <c:tx>
            <c:strRef>
              <c:f>Planilha12!$A$3</c:f>
              <c:strCache>
                <c:ptCount val="1"/>
                <c:pt idx="0">
                  <c:v>EXCEL</c:v>
                </c:pt>
              </c:strCache>
            </c:strRef>
          </c:tx>
          <c:spPr>
            <a:solidFill>
              <a:schemeClr val="accent2"/>
            </a:solidFill>
            <a:ln>
              <a:noFill/>
            </a:ln>
            <a:effectLst/>
          </c:spPr>
          <c:invertIfNegative val="0"/>
          <c:cat>
            <c:strRef>
              <c:f>Planilha12!$B$1</c:f>
              <c:strCache>
                <c:ptCount val="1"/>
                <c:pt idx="0">
                  <c:v>Aulas Dadas</c:v>
                </c:pt>
              </c:strCache>
            </c:strRef>
          </c:cat>
          <c:val>
            <c:numRef>
              <c:f>Planilha12!$B$3</c:f>
              <c:numCache>
                <c:formatCode>0</c:formatCode>
                <c:ptCount val="1"/>
                <c:pt idx="0">
                  <c:v>6</c:v>
                </c:pt>
              </c:numCache>
            </c:numRef>
          </c:val>
          <c:extLst>
            <c:ext xmlns:c16="http://schemas.microsoft.com/office/drawing/2014/chart" uri="{C3380CC4-5D6E-409C-BE32-E72D297353CC}">
              <c16:uniqueId val="{00000001-ECBE-4D10-9BD4-ACC1DD5A4F98}"/>
            </c:ext>
          </c:extLst>
        </c:ser>
        <c:dLbls>
          <c:showLegendKey val="0"/>
          <c:showVal val="0"/>
          <c:showCatName val="0"/>
          <c:showSerName val="0"/>
          <c:showPercent val="0"/>
          <c:showBubbleSize val="0"/>
        </c:dLbls>
        <c:gapWidth val="182"/>
        <c:axId val="614576920"/>
        <c:axId val="614579872"/>
      </c:barChart>
      <c:catAx>
        <c:axId val="614576920"/>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614579872"/>
        <c:crosses val="autoZero"/>
        <c:auto val="1"/>
        <c:lblAlgn val="ctr"/>
        <c:lblOffset val="100"/>
        <c:noMultiLvlLbl val="0"/>
      </c:catAx>
      <c:valAx>
        <c:axId val="614579872"/>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61457692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0"/>
          <c:order val="0"/>
          <c:tx>
            <c:strRef>
              <c:f>Planilha12!$A$2</c:f>
              <c:strCache>
                <c:ptCount val="1"/>
                <c:pt idx="0">
                  <c:v>SIGA</c:v>
                </c:pt>
              </c:strCache>
            </c:strRef>
          </c:tx>
          <c:spPr>
            <a:noFill/>
            <a:ln w="9525" cap="flat" cmpd="sng" algn="ctr">
              <a:solidFill>
                <a:schemeClr val="accent2"/>
              </a:solidFill>
              <a:miter lim="800000"/>
            </a:ln>
            <a:effectLst>
              <a:glow rad="63500">
                <a:schemeClr val="accent2">
                  <a:satMod val="175000"/>
                  <a:alpha val="25000"/>
                </a:schemeClr>
              </a:glo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50000"/>
                        </a:schemeClr>
                      </a:solidFill>
                      <a:round/>
                    </a:ln>
                    <a:effectLst/>
                  </c:spPr>
                </c15:leaderLines>
              </c:ext>
            </c:extLst>
          </c:dLbls>
          <c:cat>
            <c:strRef>
              <c:f>Planilha12!$C$1</c:f>
              <c:strCache>
                <c:ptCount val="1"/>
                <c:pt idx="0">
                  <c:v>Faltas</c:v>
                </c:pt>
              </c:strCache>
            </c:strRef>
          </c:cat>
          <c:val>
            <c:numRef>
              <c:f>Planilha12!$C$2</c:f>
              <c:numCache>
                <c:formatCode>General</c:formatCode>
                <c:ptCount val="1"/>
                <c:pt idx="0">
                  <c:v>0</c:v>
                </c:pt>
              </c:numCache>
            </c:numRef>
          </c:val>
          <c:extLst>
            <c:ext xmlns:c16="http://schemas.microsoft.com/office/drawing/2014/chart" uri="{C3380CC4-5D6E-409C-BE32-E72D297353CC}">
              <c16:uniqueId val="{00000000-3CF0-4004-95D5-463A84513E26}"/>
            </c:ext>
          </c:extLst>
        </c:ser>
        <c:ser>
          <c:idx val="1"/>
          <c:order val="1"/>
          <c:tx>
            <c:strRef>
              <c:f>Planilha12!$A$3</c:f>
              <c:strCache>
                <c:ptCount val="1"/>
                <c:pt idx="0">
                  <c:v>EXCEL</c:v>
                </c:pt>
              </c:strCache>
            </c:strRef>
          </c:tx>
          <c:spPr>
            <a:noFill/>
            <a:ln w="9525" cap="flat" cmpd="sng" algn="ctr">
              <a:solidFill>
                <a:schemeClr val="accent4"/>
              </a:solidFill>
              <a:miter lim="800000"/>
            </a:ln>
            <a:effectLst>
              <a:glow rad="63500">
                <a:schemeClr val="accent4">
                  <a:satMod val="175000"/>
                  <a:alpha val="25000"/>
                </a:schemeClr>
              </a:glo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50000"/>
                        </a:schemeClr>
                      </a:solidFill>
                      <a:round/>
                    </a:ln>
                    <a:effectLst/>
                  </c:spPr>
                </c15:leaderLines>
              </c:ext>
            </c:extLst>
          </c:dLbls>
          <c:cat>
            <c:strRef>
              <c:f>Planilha12!$C$1</c:f>
              <c:strCache>
                <c:ptCount val="1"/>
                <c:pt idx="0">
                  <c:v>Faltas</c:v>
                </c:pt>
              </c:strCache>
            </c:strRef>
          </c:cat>
          <c:val>
            <c:numRef>
              <c:f>Planilha12!$C$3</c:f>
              <c:numCache>
                <c:formatCode>0.00</c:formatCode>
                <c:ptCount val="1"/>
                <c:pt idx="0">
                  <c:v>3</c:v>
                </c:pt>
              </c:numCache>
            </c:numRef>
          </c:val>
          <c:extLst>
            <c:ext xmlns:c16="http://schemas.microsoft.com/office/drawing/2014/chart" uri="{C3380CC4-5D6E-409C-BE32-E72D297353CC}">
              <c16:uniqueId val="{00000001-3CF0-4004-95D5-463A84513E26}"/>
            </c:ext>
          </c:extLst>
        </c:ser>
        <c:dLbls>
          <c:dLblPos val="outEnd"/>
          <c:showLegendKey val="0"/>
          <c:showVal val="1"/>
          <c:showCatName val="0"/>
          <c:showSerName val="0"/>
          <c:showPercent val="0"/>
          <c:showBubbleSize val="0"/>
        </c:dLbls>
        <c:gapWidth val="100"/>
        <c:overlap val="-40"/>
        <c:axId val="614369224"/>
        <c:axId val="614577248"/>
      </c:barChart>
      <c:catAx>
        <c:axId val="614369224"/>
        <c:scaling>
          <c:orientation val="minMax"/>
        </c:scaling>
        <c:delete val="0"/>
        <c:axPos val="b"/>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pt-BR"/>
          </a:p>
        </c:txPr>
        <c:crossAx val="614577248"/>
        <c:crosses val="autoZero"/>
        <c:auto val="1"/>
        <c:lblAlgn val="ctr"/>
        <c:lblOffset val="100"/>
        <c:noMultiLvlLbl val="0"/>
      </c:catAx>
      <c:valAx>
        <c:axId val="614577248"/>
        <c:scaling>
          <c:orientation val="minMax"/>
        </c:scaling>
        <c:delete val="0"/>
        <c:axPos val="l"/>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pt-BR"/>
          </a:p>
        </c:txPr>
        <c:crossAx val="614369224"/>
        <c:crosses val="autoZero"/>
        <c:crossBetween val="between"/>
      </c:valAx>
      <c:spPr>
        <a:noFill/>
        <a:ln>
          <a:noFill/>
        </a:ln>
        <a:effectLst/>
      </c:spPr>
    </c:plotArea>
    <c:legend>
      <c:legendPos val="r"/>
      <c:layout>
        <c:manualLayout>
          <c:xMode val="edge"/>
          <c:yMode val="edge"/>
          <c:x val="0.71239639821141765"/>
          <c:y val="0.39409667541557314"/>
          <c:w val="0.13479621017522064"/>
          <c:h val="0.15625109361329836"/>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pt-BR"/>
        </a:p>
      </c:txPr>
    </c:title>
    <c:autoTitleDeleted val="0"/>
    <c:plotArea>
      <c:layout/>
      <c:doughnutChart>
        <c:varyColors val="1"/>
        <c:ser>
          <c:idx val="0"/>
          <c:order val="0"/>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1-9B28-436D-86B8-6820B67F2F49}"/>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3-9B28-436D-86B8-6820B67F2F49}"/>
              </c:ext>
            </c:extLst>
          </c:dPt>
          <c:val>
            <c:numRef>
              <c:f>Planilha12!$B$2:$C$2</c:f>
              <c:numCache>
                <c:formatCode>General</c:formatCode>
                <c:ptCount val="2"/>
                <c:pt idx="0">
                  <c:v>0</c:v>
                </c:pt>
                <c:pt idx="1">
                  <c:v>0</c:v>
                </c:pt>
              </c:numCache>
            </c:numRef>
          </c:val>
          <c:extLst>
            <c:ext xmlns:c16="http://schemas.microsoft.com/office/drawing/2014/chart" uri="{C3380CC4-5D6E-409C-BE32-E72D297353CC}">
              <c16:uniqueId val="{00000000-4BAB-47D4-B45F-15884CAD84AF}"/>
            </c:ext>
          </c:extLst>
        </c:ser>
        <c:dLbls>
          <c:showLegendKey val="0"/>
          <c:showVal val="0"/>
          <c:showCatName val="0"/>
          <c:showSerName val="0"/>
          <c:showPercent val="0"/>
          <c:showBubbleSize val="0"/>
          <c:showLeaderLines val="1"/>
        </c:dLbls>
        <c:firstSliceAng val="0"/>
        <c:holeSize val="75"/>
      </c:doughnutChart>
      <c:spPr>
        <a:noFill/>
        <a:ln>
          <a:noFill/>
        </a:ln>
        <a:effectLst/>
      </c:spPr>
    </c:plotArea>
    <c:legend>
      <c:legendPos val="b"/>
      <c:overlay val="0"/>
      <c:spPr>
        <a:noFill/>
        <a:ln>
          <a:noFill/>
        </a:ln>
        <a:effectLst/>
      </c:spPr>
      <c:txPr>
        <a:bodyPr rot="0" spcFirstLastPara="1" vertOverflow="ellipsis" vert="horz" wrap="square" anchor="ctr" anchorCtr="1"/>
        <a:lstStyle/>
        <a:p>
          <a:pPr rtl="0">
            <a:defRPr sz="900" b="0" i="0" u="none" strike="noStrike" kern="1200" baseline="0">
              <a:solidFill>
                <a:schemeClr val="lt1">
                  <a:lumMod val="85000"/>
                </a:schemeClr>
              </a:solidFill>
              <a:latin typeface="+mn-lt"/>
              <a:ea typeface="+mn-ea"/>
              <a:cs typeface="+mn-cs"/>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pt-BR"/>
        </a:p>
      </c:txPr>
    </c:title>
    <c:autoTitleDeleted val="0"/>
    <c:plotArea>
      <c:layout/>
      <c:doughnut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10EE-4117-B0E5-C825A1944DFB}"/>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10EE-4117-B0E5-C825A1944DFB}"/>
              </c:ext>
            </c:extLst>
          </c:dPt>
          <c:val>
            <c:numRef>
              <c:f>Planilha12!$E$2:$F$2</c:f>
              <c:numCache>
                <c:formatCode>0</c:formatCode>
                <c:ptCount val="2"/>
                <c:pt idx="0" formatCode="General">
                  <c:v>0</c:v>
                </c:pt>
                <c:pt idx="1">
                  <c:v>0</c:v>
                </c:pt>
              </c:numCache>
            </c:numRef>
          </c:val>
          <c:extLst>
            <c:ext xmlns:c16="http://schemas.microsoft.com/office/drawing/2014/chart" uri="{C3380CC4-5D6E-409C-BE32-E72D297353CC}">
              <c16:uniqueId val="{00000000-4E2E-45D1-856B-7C31B453A98F}"/>
            </c:ext>
          </c:extLst>
        </c:ser>
        <c:dLbls>
          <c:showLegendKey val="0"/>
          <c:showVal val="0"/>
          <c:showCatName val="0"/>
          <c:showSerName val="0"/>
          <c:showPercent val="0"/>
          <c:showBubbleSize val="0"/>
          <c:showLeaderLines val="1"/>
        </c:dLbls>
        <c:firstSliceAng val="0"/>
        <c:holeSize val="75"/>
      </c:doughnutChart>
      <c:spPr>
        <a:noFill/>
        <a:ln>
          <a:noFill/>
        </a:ln>
        <a:effectLst/>
      </c:spPr>
    </c:plotArea>
    <c:legend>
      <c:legendPos val="b"/>
      <c:overlay val="0"/>
      <c:spPr>
        <a:noFill/>
        <a:ln>
          <a:noFill/>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pt-BR"/>
        </a:p>
      </c:txPr>
    </c:title>
    <c:autoTitleDeleted val="0"/>
    <c:plotArea>
      <c:layout/>
      <c:doughnutChart>
        <c:varyColors val="1"/>
        <c:ser>
          <c:idx val="0"/>
          <c:order val="0"/>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1-5F6D-4D03-949E-62417206C3FB}"/>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3-5F6D-4D03-949E-62417206C3FB}"/>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pt-BR"/>
              </a:p>
            </c:txPr>
            <c:showLegendKey val="0"/>
            <c:showVal val="1"/>
            <c:showCatName val="0"/>
            <c:showSerName val="0"/>
            <c:showPercent val="0"/>
            <c:showBubbleSize val="0"/>
            <c:showLeaderLines val="1"/>
            <c:leaderLines>
              <c:spPr>
                <a:ln w="9525">
                  <a:solidFill>
                    <a:schemeClr val="lt1">
                      <a:lumMod val="95000"/>
                      <a:alpha val="54000"/>
                    </a:schemeClr>
                  </a:solidFill>
                </a:ln>
                <a:effectLst/>
              </c:spPr>
            </c:leaderLines>
            <c:extLst>
              <c:ext xmlns:c15="http://schemas.microsoft.com/office/drawing/2012/chart" uri="{CE6537A1-D6FC-4f65-9D91-7224C49458BB}"/>
            </c:extLst>
          </c:dLbls>
          <c:val>
            <c:numRef>
              <c:f>Planilha12!$E$2:$F$2</c:f>
              <c:numCache>
                <c:formatCode>0</c:formatCode>
                <c:ptCount val="2"/>
                <c:pt idx="0" formatCode="General">
                  <c:v>0</c:v>
                </c:pt>
                <c:pt idx="1">
                  <c:v>0</c:v>
                </c:pt>
              </c:numCache>
            </c:numRef>
          </c:val>
          <c:extLst>
            <c:ext xmlns:c16="http://schemas.microsoft.com/office/drawing/2014/chart" uri="{C3380CC4-5D6E-409C-BE32-E72D297353CC}">
              <c16:uniqueId val="{00000000-ADEC-4F6C-8B61-8AF0E7FA3F6D}"/>
            </c:ext>
          </c:extLst>
        </c:ser>
        <c:dLbls>
          <c:showLegendKey val="0"/>
          <c:showVal val="1"/>
          <c:showCatName val="0"/>
          <c:showSerName val="0"/>
          <c:showPercent val="0"/>
          <c:showBubbleSize val="0"/>
          <c:showLeaderLines val="1"/>
        </c:dLbls>
        <c:firstSliceAng val="0"/>
        <c:holeSize val="75"/>
      </c:doughnutChart>
      <c:spPr>
        <a:noFill/>
        <a:ln>
          <a:noFill/>
        </a:ln>
        <a:effectLst/>
      </c:spPr>
    </c:plotArea>
    <c:legend>
      <c:legendPos val="b"/>
      <c:overlay val="0"/>
      <c:spPr>
        <a:noFill/>
        <a:ln>
          <a:noFill/>
        </a:ln>
        <a:effectLst/>
      </c:spPr>
      <c:txPr>
        <a:bodyPr rot="0" spcFirstLastPara="1" vertOverflow="ellipsis" vert="horz" wrap="square" anchor="ctr" anchorCtr="1"/>
        <a:lstStyle/>
        <a:p>
          <a:pPr rtl="0">
            <a:defRPr sz="900" b="0" i="0" u="none" strike="noStrike" kern="1200" baseline="0">
              <a:solidFill>
                <a:schemeClr val="lt1">
                  <a:lumMod val="85000"/>
                </a:schemeClr>
              </a:solidFill>
              <a:latin typeface="+mn-lt"/>
              <a:ea typeface="+mn-ea"/>
              <a:cs typeface="+mn-cs"/>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doughnutChart>
        <c:varyColors val="1"/>
        <c:ser>
          <c:idx val="0"/>
          <c:order val="0"/>
          <c:spPr>
            <a:ln cap="rnd"/>
          </c:spPr>
          <c:dPt>
            <c:idx val="0"/>
            <c:bubble3D val="0"/>
            <c:spPr>
              <a:solidFill>
                <a:schemeClr val="accent1"/>
              </a:solidFill>
              <a:ln w="19050" cap="rnd">
                <a:solidFill>
                  <a:schemeClr val="lt1"/>
                </a:solidFill>
              </a:ln>
              <a:effectLst/>
            </c:spPr>
            <c:extLst>
              <c:ext xmlns:c16="http://schemas.microsoft.com/office/drawing/2014/chart" uri="{C3380CC4-5D6E-409C-BE32-E72D297353CC}">
                <c16:uniqueId val="{00000001-B217-4681-91EE-C36F2F807940}"/>
              </c:ext>
            </c:extLst>
          </c:dPt>
          <c:dPt>
            <c:idx val="1"/>
            <c:bubble3D val="0"/>
            <c:spPr>
              <a:solidFill>
                <a:schemeClr val="accent2"/>
              </a:solidFill>
              <a:ln w="19050" cap="rnd">
                <a:solidFill>
                  <a:schemeClr val="lt1"/>
                </a:solidFill>
              </a:ln>
              <a:effectLst/>
            </c:spPr>
            <c:extLst>
              <c:ext xmlns:c16="http://schemas.microsoft.com/office/drawing/2014/chart" uri="{C3380CC4-5D6E-409C-BE32-E72D297353CC}">
                <c16:uniqueId val="{00000003-B217-4681-91EE-C36F2F807940}"/>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Planilha12!$E$1:$F$1</c:f>
              <c:strCache>
                <c:ptCount val="2"/>
                <c:pt idx="0">
                  <c:v>Faltas</c:v>
                </c:pt>
                <c:pt idx="1">
                  <c:v>Presenças</c:v>
                </c:pt>
              </c:strCache>
            </c:strRef>
          </c:cat>
          <c:val>
            <c:numRef>
              <c:f>Planilha12!$E$2:$F$2</c:f>
              <c:numCache>
                <c:formatCode>0</c:formatCode>
                <c:ptCount val="2"/>
                <c:pt idx="0" formatCode="General">
                  <c:v>0</c:v>
                </c:pt>
                <c:pt idx="1">
                  <c:v>0</c:v>
                </c:pt>
              </c:numCache>
            </c:numRef>
          </c:val>
          <c:extLst>
            <c:ext xmlns:c16="http://schemas.microsoft.com/office/drawing/2014/chart" uri="{C3380CC4-5D6E-409C-BE32-E72D297353CC}">
              <c16:uniqueId val="{00000000-27E2-43AB-BDC5-71C4EE81FFDB}"/>
            </c:ext>
          </c:extLst>
        </c:ser>
        <c:dLbls>
          <c:showLegendKey val="0"/>
          <c:showVal val="1"/>
          <c:showCatName val="0"/>
          <c:showSerName val="0"/>
          <c:showPercent val="0"/>
          <c:showBubbleSize val="0"/>
          <c:showLeaderLines val="1"/>
        </c:dLbls>
        <c:firstSliceAng val="0"/>
        <c:holeSize val="75"/>
      </c:doughnutChart>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9">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lt1"/>
    </cs:fontRef>
  </cs:dataPoint>
  <cs:dataPoint3D>
    <cs:lnRef idx="0"/>
    <cs:fillRef idx="3">
      <cs:styleClr val="auto"/>
    </cs:fillRef>
    <cs:effectRef idx="3"/>
    <cs:fontRef idx="minor">
      <a:schemeClr val="lt1"/>
    </cs:fontRef>
  </cs:dataPoint3D>
  <cs:dataPointLine>
    <cs:lnRef idx="0">
      <cs:styleClr val="auto"/>
    </cs:lnRef>
    <cs:fillRef idx="3"/>
    <cs:effectRef idx="3"/>
    <cs:fontRef idx="minor">
      <a:schemeClr val="lt1"/>
    </cs:fontRef>
    <cs:spPr>
      <a:ln w="34925" cap="rnd">
        <a:solidFill>
          <a:schemeClr val="phClr"/>
        </a:solidFill>
        <a:round/>
      </a:ln>
    </cs:spPr>
  </cs:dataPointLine>
  <cs:dataPointMarker>
    <cs:lnRef idx="0">
      <cs:styleClr val="auto"/>
    </cs:lnRef>
    <cs:fillRef idx="3">
      <cs:styleClr val="auto"/>
    </cs:fillRef>
    <cs:effectRef idx="3"/>
    <cs:fontRef idx="minor">
      <a:schemeClr val="lt1"/>
    </cs:fontRef>
    <cs:spPr>
      <a:ln w="9525">
        <a:solidFill>
          <a:schemeClr val="phClr"/>
        </a:solidFill>
        <a:round/>
      </a:ln>
    </cs:spPr>
  </cs:dataPointMarker>
  <cs:dataPointMarkerLayout symbol="circle" size="6"/>
  <cs:dataPointWireframe>
    <cs:lnRef idx="0">
      <cs:styleClr val="auto"/>
    </cs:lnRef>
    <cs:fillRef idx="3"/>
    <cs:effectRef idx="3"/>
    <cs:fontRef idx="minor">
      <a:schemeClr val="lt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lt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lt1"/>
    </cs:fontRef>
    <cs:spPr>
      <a:ln w="9525">
        <a:solidFill>
          <a:schemeClr val="lt1">
            <a:lumMod val="95000"/>
            <a:alpha val="54000"/>
          </a:schemeClr>
        </a:solidFill>
        <a:prstDash val="dash"/>
      </a:ln>
    </cs:spPr>
  </cs:dropLine>
  <cs:errorBar>
    <cs:lnRef idx="0"/>
    <cs:fillRef idx="0"/>
    <cs:effectRef idx="0"/>
    <cs:fontRef idx="minor">
      <a:schemeClr val="lt1"/>
    </cs:fontRef>
    <cs:spPr>
      <a:ln w="9525" cap="flat" cmpd="sng" algn="ctr">
        <a:solidFill>
          <a:schemeClr val="lt1">
            <a:lumMod val="95000"/>
          </a:schemeClr>
        </a:solidFill>
        <a:round/>
      </a:ln>
    </cs:spPr>
  </cs:errorBar>
  <cs:floor>
    <cs:lnRef idx="0"/>
    <cs:fillRef idx="0"/>
    <cs:effectRef idx="0"/>
    <cs:fontRef idx="minor">
      <a:schemeClr val="lt1"/>
    </cs:fontRef>
  </cs:floor>
  <cs:gridlineMajor>
    <cs:lnRef idx="0"/>
    <cs:fillRef idx="0"/>
    <cs:effectRef idx="0"/>
    <cs:fontRef idx="minor">
      <a:schemeClr val="lt1"/>
    </cs:fontRef>
    <cs:spPr>
      <a:ln w="9525" cap="flat" cmpd="sng" algn="ctr">
        <a:solidFill>
          <a:schemeClr val="lt1">
            <a:lumMod val="95000"/>
            <a:alpha val="10000"/>
          </a:schemeClr>
        </a:solidFill>
        <a:round/>
      </a:ln>
    </cs:spPr>
  </cs:gridlineMajor>
  <cs:gridlineMinor>
    <cs:lnRef idx="0"/>
    <cs:fillRef idx="0"/>
    <cs:effectRef idx="0"/>
    <cs:fontRef idx="minor">
      <a:schemeClr val="lt1"/>
    </cs:fontRef>
    <cs:spPr>
      <a:ln>
        <a:solidFill>
          <a:schemeClr val="lt1">
            <a:lumMod val="95000"/>
            <a:alpha val="5000"/>
          </a:schemeClr>
        </a:solidFill>
      </a:ln>
    </cs:spPr>
  </cs:gridlineMinor>
  <cs:hiLoLine>
    <cs:lnRef idx="0"/>
    <cs:fillRef idx="0"/>
    <cs:effectRef idx="0"/>
    <cs:fontRef idx="minor">
      <a:schemeClr val="lt1"/>
    </cs:fontRef>
    <cs:spPr>
      <a:ln w="9525">
        <a:solidFill>
          <a:schemeClr val="lt1">
            <a:lumMod val="95000"/>
            <a:alpha val="54000"/>
          </a:schemeClr>
        </a:solidFill>
        <a:prstDash val="dash"/>
      </a:ln>
    </cs:spPr>
  </cs:hiLoLine>
  <cs:leaderLine>
    <cs:lnRef idx="0"/>
    <cs:fillRef idx="0"/>
    <cs:effectRef idx="0"/>
    <cs:fontRef idx="minor">
      <a:schemeClr val="lt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lt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lt1"/>
    </cs:fontRef>
  </cs:wall>
</cs:chartStyle>
</file>

<file path=xl/charts/style2.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9">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lt1"/>
    </cs:fontRef>
  </cs:dataPoint>
  <cs:dataPoint3D>
    <cs:lnRef idx="0"/>
    <cs:fillRef idx="3">
      <cs:styleClr val="auto"/>
    </cs:fillRef>
    <cs:effectRef idx="3"/>
    <cs:fontRef idx="minor">
      <a:schemeClr val="lt1"/>
    </cs:fontRef>
  </cs:dataPoint3D>
  <cs:dataPointLine>
    <cs:lnRef idx="0">
      <cs:styleClr val="auto"/>
    </cs:lnRef>
    <cs:fillRef idx="3"/>
    <cs:effectRef idx="3"/>
    <cs:fontRef idx="minor">
      <a:schemeClr val="lt1"/>
    </cs:fontRef>
    <cs:spPr>
      <a:ln w="34925" cap="rnd">
        <a:solidFill>
          <a:schemeClr val="phClr"/>
        </a:solidFill>
        <a:round/>
      </a:ln>
    </cs:spPr>
  </cs:dataPointLine>
  <cs:dataPointMarker>
    <cs:lnRef idx="0">
      <cs:styleClr val="auto"/>
    </cs:lnRef>
    <cs:fillRef idx="3">
      <cs:styleClr val="auto"/>
    </cs:fillRef>
    <cs:effectRef idx="3"/>
    <cs:fontRef idx="minor">
      <a:schemeClr val="lt1"/>
    </cs:fontRef>
    <cs:spPr>
      <a:ln w="9525">
        <a:solidFill>
          <a:schemeClr val="phClr"/>
        </a:solidFill>
        <a:round/>
      </a:ln>
    </cs:spPr>
  </cs:dataPointMarker>
  <cs:dataPointMarkerLayout symbol="circle" size="6"/>
  <cs:dataPointWireframe>
    <cs:lnRef idx="0">
      <cs:styleClr val="auto"/>
    </cs:lnRef>
    <cs:fillRef idx="3"/>
    <cs:effectRef idx="3"/>
    <cs:fontRef idx="minor">
      <a:schemeClr val="lt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lt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lt1"/>
    </cs:fontRef>
    <cs:spPr>
      <a:ln w="9525">
        <a:solidFill>
          <a:schemeClr val="lt1">
            <a:lumMod val="95000"/>
            <a:alpha val="54000"/>
          </a:schemeClr>
        </a:solidFill>
        <a:prstDash val="dash"/>
      </a:ln>
    </cs:spPr>
  </cs:dropLine>
  <cs:errorBar>
    <cs:lnRef idx="0"/>
    <cs:fillRef idx="0"/>
    <cs:effectRef idx="0"/>
    <cs:fontRef idx="minor">
      <a:schemeClr val="lt1"/>
    </cs:fontRef>
    <cs:spPr>
      <a:ln w="9525" cap="flat" cmpd="sng" algn="ctr">
        <a:solidFill>
          <a:schemeClr val="lt1">
            <a:lumMod val="95000"/>
          </a:schemeClr>
        </a:solidFill>
        <a:round/>
      </a:ln>
    </cs:spPr>
  </cs:errorBar>
  <cs:floor>
    <cs:lnRef idx="0"/>
    <cs:fillRef idx="0"/>
    <cs:effectRef idx="0"/>
    <cs:fontRef idx="minor">
      <a:schemeClr val="lt1"/>
    </cs:fontRef>
  </cs:floor>
  <cs:gridlineMajor>
    <cs:lnRef idx="0"/>
    <cs:fillRef idx="0"/>
    <cs:effectRef idx="0"/>
    <cs:fontRef idx="minor">
      <a:schemeClr val="lt1"/>
    </cs:fontRef>
    <cs:spPr>
      <a:ln w="9525" cap="flat" cmpd="sng" algn="ctr">
        <a:solidFill>
          <a:schemeClr val="lt1">
            <a:lumMod val="95000"/>
            <a:alpha val="10000"/>
          </a:schemeClr>
        </a:solidFill>
        <a:round/>
      </a:ln>
    </cs:spPr>
  </cs:gridlineMajor>
  <cs:gridlineMinor>
    <cs:lnRef idx="0"/>
    <cs:fillRef idx="0"/>
    <cs:effectRef idx="0"/>
    <cs:fontRef idx="minor">
      <a:schemeClr val="lt1"/>
    </cs:fontRef>
    <cs:spPr>
      <a:ln>
        <a:solidFill>
          <a:schemeClr val="lt1">
            <a:lumMod val="95000"/>
            <a:alpha val="5000"/>
          </a:schemeClr>
        </a:solidFill>
      </a:ln>
    </cs:spPr>
  </cs:gridlineMinor>
  <cs:hiLoLine>
    <cs:lnRef idx="0"/>
    <cs:fillRef idx="0"/>
    <cs:effectRef idx="0"/>
    <cs:fontRef idx="minor">
      <a:schemeClr val="lt1"/>
    </cs:fontRef>
    <cs:spPr>
      <a:ln w="9525">
        <a:solidFill>
          <a:schemeClr val="lt1">
            <a:lumMod val="95000"/>
            <a:alpha val="54000"/>
          </a:schemeClr>
        </a:solidFill>
        <a:prstDash val="dash"/>
      </a:ln>
    </cs:spPr>
  </cs:hiLoLine>
  <cs:leaderLine>
    <cs:lnRef idx="0"/>
    <cs:fillRef idx="0"/>
    <cs:effectRef idx="0"/>
    <cs:fontRef idx="minor">
      <a:schemeClr val="lt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lt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lt1"/>
    </cs:fontRef>
  </cs:wall>
</cs:chartStyle>
</file>

<file path=xl/charts/style4.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13">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4"/>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75000"/>
                <a:lumOff val="25000"/>
              </a:schemeClr>
            </a:gs>
            <a:gs pos="0">
              <a:schemeClr val="dk1">
                <a:lumMod val="65000"/>
                <a:lumOff val="35000"/>
              </a:schemeClr>
            </a:gs>
          </a:gsLst>
          <a:lin ang="5400000" scaled="0"/>
        </a:gradFill>
        <a:round/>
      </a:ln>
    </cs:spPr>
  </cs:gridlineMajor>
  <cs:gridlineMinor>
    <cs:lnRef idx="0"/>
    <cs:fillRef idx="0"/>
    <cs:effectRef idx="0"/>
    <cs:fontRef idx="minor">
      <a:schemeClr val="dk1"/>
    </cs:fontRef>
    <cs:spPr>
      <a:ln w="9525" cap="flat" cmpd="sng" algn="ctr">
        <a:gradFill>
          <a:gsLst>
            <a:gs pos="100000">
              <a:schemeClr val="dk1">
                <a:lumMod val="75000"/>
                <a:lumOff val="25000"/>
                <a:alpha val="25000"/>
              </a:schemeClr>
            </a:gs>
            <a:gs pos="0">
              <a:schemeClr val="dk1">
                <a:lumMod val="65000"/>
                <a:lumOff val="35000"/>
                <a:alpha val="25000"/>
              </a:schemeClr>
            </a:gs>
          </a:gsLst>
          <a:lin ang="5400000" scaled="0"/>
        </a:gra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defRPr sz="900" kern="1200"/>
  </cs:valueAxis>
  <cs:wall>
    <cs:lnRef idx="0"/>
    <cs:fillRef idx="0"/>
    <cs:effectRef idx="0"/>
    <cs:fontRef idx="minor">
      <a:schemeClr val="dk1"/>
    </cs:fontRef>
  </cs:wall>
</cs:chartStyle>
</file>

<file path=xl/charts/style6.xml><?xml version="1.0" encoding="utf-8"?>
<cs:chartStyle xmlns:cs="http://schemas.microsoft.com/office/drawing/2012/chartStyle" xmlns:a="http://schemas.openxmlformats.org/drawingml/2006/main" id="257">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7.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57">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9.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2" Type="http://schemas.openxmlformats.org/officeDocument/2006/relationships/chart" Target="../charts/chart3.xml"/><Relationship Id="rId1" Type="http://schemas.openxmlformats.org/officeDocument/2006/relationships/chart" Target="../charts/chart2.xml"/></Relationships>
</file>

<file path=xl/drawings/_rels/drawing5.xml.rels><?xml version="1.0" encoding="UTF-8" standalone="yes"?>
<Relationships xmlns="http://schemas.openxmlformats.org/package/2006/relationships"><Relationship Id="rId3" Type="http://schemas.openxmlformats.org/officeDocument/2006/relationships/chart" Target="../charts/chart6.xml"/><Relationship Id="rId2" Type="http://schemas.openxmlformats.org/officeDocument/2006/relationships/chart" Target="../charts/chart5.xml"/><Relationship Id="rId1" Type="http://schemas.openxmlformats.org/officeDocument/2006/relationships/chart" Target="../charts/chart4.xml"/><Relationship Id="rId6" Type="http://schemas.openxmlformats.org/officeDocument/2006/relationships/chart" Target="../charts/chart9.xml"/><Relationship Id="rId5" Type="http://schemas.openxmlformats.org/officeDocument/2006/relationships/chart" Target="../charts/chart8.xml"/><Relationship Id="rId4" Type="http://schemas.openxmlformats.org/officeDocument/2006/relationships/chart" Target="../charts/chart7.xml"/></Relationships>
</file>

<file path=xl/drawings/drawing1.xml><?xml version="1.0" encoding="utf-8"?>
<xdr:wsDr xmlns:xdr="http://schemas.openxmlformats.org/drawingml/2006/spreadsheetDrawing" xmlns:a="http://schemas.openxmlformats.org/drawingml/2006/main">
  <xdr:twoCellAnchor>
    <xdr:from>
      <xdr:col>0</xdr:col>
      <xdr:colOff>182880</xdr:colOff>
      <xdr:row>2</xdr:row>
      <xdr:rowOff>129540</xdr:rowOff>
    </xdr:from>
    <xdr:to>
      <xdr:col>4</xdr:col>
      <xdr:colOff>45720</xdr:colOff>
      <xdr:row>5</xdr:row>
      <xdr:rowOff>114300</xdr:rowOff>
    </xdr:to>
    <xdr:sp macro="" textlink="">
      <xdr:nvSpPr>
        <xdr:cNvPr id="2" name="Retângulo: Cantos Arredondados 1">
          <a:extLst>
            <a:ext uri="{FF2B5EF4-FFF2-40B4-BE49-F238E27FC236}">
              <a16:creationId xmlns:a16="http://schemas.microsoft.com/office/drawing/2014/main" id="{7A860826-AC95-49DE-ADD3-9FAB984015D6}"/>
            </a:ext>
          </a:extLst>
        </xdr:cNvPr>
        <xdr:cNvSpPr/>
      </xdr:nvSpPr>
      <xdr:spPr>
        <a:xfrm>
          <a:off x="182880" y="495300"/>
          <a:ext cx="7833360" cy="533400"/>
        </a:xfrm>
        <a:prstGeom prst="roundRect">
          <a:avLst>
            <a:gd name="adj" fmla="val 50000"/>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pt-BR" sz="1600">
            <a:latin typeface="Bowlby One SC" panose="02000505060000020004" pitchFamily="2" charset="0"/>
          </a:endParaRPr>
        </a:p>
      </xdr:txBody>
    </xdr:sp>
    <xdr:clientData/>
  </xdr:twoCellAnchor>
  <xdr:twoCellAnchor>
    <xdr:from>
      <xdr:col>5</xdr:col>
      <xdr:colOff>173083</xdr:colOff>
      <xdr:row>7</xdr:row>
      <xdr:rowOff>26126</xdr:rowOff>
    </xdr:from>
    <xdr:to>
      <xdr:col>10</xdr:col>
      <xdr:colOff>495300</xdr:colOff>
      <xdr:row>23</xdr:row>
      <xdr:rowOff>104503</xdr:rowOff>
    </xdr:to>
    <xdr:sp macro="" textlink="">
      <xdr:nvSpPr>
        <xdr:cNvPr id="7" name="Retângulo: Cantos Arredondados 6">
          <a:extLst>
            <a:ext uri="{FF2B5EF4-FFF2-40B4-BE49-F238E27FC236}">
              <a16:creationId xmlns:a16="http://schemas.microsoft.com/office/drawing/2014/main" id="{BCB31E60-7A6C-46D1-81DF-DAF8A918A301}"/>
            </a:ext>
          </a:extLst>
        </xdr:cNvPr>
        <xdr:cNvSpPr/>
      </xdr:nvSpPr>
      <xdr:spPr>
        <a:xfrm>
          <a:off x="9324703" y="1306286"/>
          <a:ext cx="4444637" cy="1914797"/>
        </a:xfrm>
        <a:prstGeom prst="roundRect">
          <a:avLst/>
        </a:prstGeom>
        <a:solidFill>
          <a:schemeClr val="tx1">
            <a:lumMod val="75000"/>
            <a:lumOff val="2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5</xdr:col>
      <xdr:colOff>515983</xdr:colOff>
      <xdr:row>7</xdr:row>
      <xdr:rowOff>78378</xdr:rowOff>
    </xdr:from>
    <xdr:to>
      <xdr:col>10</xdr:col>
      <xdr:colOff>263240</xdr:colOff>
      <xdr:row>23</xdr:row>
      <xdr:rowOff>158932</xdr:rowOff>
    </xdr:to>
    <xdr:graphicFrame macro="">
      <xdr:nvGraphicFramePr>
        <xdr:cNvPr id="10" name="Gráfico 9">
          <a:extLst>
            <a:ext uri="{FF2B5EF4-FFF2-40B4-BE49-F238E27FC236}">
              <a16:creationId xmlns:a16="http://schemas.microsoft.com/office/drawing/2014/main" id="{F89901E9-8E60-46D4-8A3C-4BB37688BE6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9</xdr:col>
      <xdr:colOff>312420</xdr:colOff>
      <xdr:row>9</xdr:row>
      <xdr:rowOff>118110</xdr:rowOff>
    </xdr:from>
    <xdr:to>
      <xdr:col>17</xdr:col>
      <xdr:colOff>22860</xdr:colOff>
      <xdr:row>24</xdr:row>
      <xdr:rowOff>118110</xdr:rowOff>
    </xdr:to>
    <xdr:graphicFrame macro="">
      <xdr:nvGraphicFramePr>
        <xdr:cNvPr id="4" name="Gráfico 3">
          <a:extLst>
            <a:ext uri="{FF2B5EF4-FFF2-40B4-BE49-F238E27FC236}">
              <a16:creationId xmlns:a16="http://schemas.microsoft.com/office/drawing/2014/main" id="{B1EFEF28-4DC1-453C-A1E2-8CA9D3633BA4}"/>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822960</xdr:colOff>
      <xdr:row>12</xdr:row>
      <xdr:rowOff>95250</xdr:rowOff>
    </xdr:from>
    <xdr:to>
      <xdr:col>10</xdr:col>
      <xdr:colOff>533400</xdr:colOff>
      <xdr:row>27</xdr:row>
      <xdr:rowOff>95250</xdr:rowOff>
    </xdr:to>
    <xdr:graphicFrame macro="">
      <xdr:nvGraphicFramePr>
        <xdr:cNvPr id="5" name="Gráfico 4">
          <a:extLst>
            <a:ext uri="{FF2B5EF4-FFF2-40B4-BE49-F238E27FC236}">
              <a16:creationId xmlns:a16="http://schemas.microsoft.com/office/drawing/2014/main" id="{F30F0CFE-A598-4F73-B4D4-9EE143B0B17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editAs="oneCell">
    <xdr:from>
      <xdr:col>8</xdr:col>
      <xdr:colOff>67985</xdr:colOff>
      <xdr:row>1</xdr:row>
      <xdr:rowOff>69006</xdr:rowOff>
    </xdr:from>
    <xdr:to>
      <xdr:col>8</xdr:col>
      <xdr:colOff>807898</xdr:colOff>
      <xdr:row>2</xdr:row>
      <xdr:rowOff>82826</xdr:rowOff>
    </xdr:to>
    <xdr:sp macro="[0]!Macro110" textlink="">
      <xdr:nvSpPr>
        <xdr:cNvPr id="2" name="Retângulo: Cantos Arredondados 1">
          <a:extLst>
            <a:ext uri="{FF2B5EF4-FFF2-40B4-BE49-F238E27FC236}">
              <a16:creationId xmlns:a16="http://schemas.microsoft.com/office/drawing/2014/main" id="{00000000-0008-0000-0300-000002000000}"/>
            </a:ext>
          </a:extLst>
        </xdr:cNvPr>
        <xdr:cNvSpPr/>
      </xdr:nvSpPr>
      <xdr:spPr>
        <a:xfrm>
          <a:off x="8680731" y="289020"/>
          <a:ext cx="739913" cy="357257"/>
        </a:xfrm>
        <a:prstGeom prst="roundRect">
          <a:avLst/>
        </a:prstGeom>
        <a:gradFill flip="none" rotWithShape="1">
          <a:gsLst>
            <a:gs pos="0">
              <a:schemeClr val="tx1">
                <a:lumMod val="85000"/>
                <a:lumOff val="15000"/>
              </a:schemeClr>
            </a:gs>
            <a:gs pos="100000">
              <a:schemeClr val="tx1">
                <a:lumMod val="65000"/>
                <a:lumOff val="35000"/>
              </a:schemeClr>
            </a:gs>
          </a:gsLst>
          <a:lin ang="13500000" scaled="1"/>
          <a:tileRect/>
        </a:gradFill>
        <a:ln>
          <a:noFill/>
        </a:ln>
        <a:effectLst/>
      </xdr:spPr>
      <xdr:style>
        <a:lnRef idx="2">
          <a:schemeClr val="accent6"/>
        </a:lnRef>
        <a:fillRef idx="1">
          <a:schemeClr val="lt1"/>
        </a:fillRef>
        <a:effectRef idx="0">
          <a:schemeClr val="accent6"/>
        </a:effectRef>
        <a:fontRef idx="minor">
          <a:schemeClr val="dk1"/>
        </a:fontRef>
      </xdr:style>
      <xdr:txBody>
        <a:bodyPr vertOverflow="clip" horzOverflow="clip" rtlCol="0" anchor="ctr"/>
        <a:lstStyle/>
        <a:p>
          <a:pPr algn="ctr"/>
          <a:r>
            <a:rPr lang="pt-BR" sz="900">
              <a:solidFill>
                <a:schemeClr val="bg1"/>
              </a:solidFill>
              <a:effectLst>
                <a:glow rad="101600">
                  <a:schemeClr val="accent4">
                    <a:satMod val="175000"/>
                    <a:alpha val="40000"/>
                  </a:schemeClr>
                </a:glow>
              </a:effectLst>
              <a:latin typeface="Aharoni" panose="02010803020104030203" pitchFamily="2" charset="-79"/>
              <a:cs typeface="Aharoni" panose="02010803020104030203" pitchFamily="2" charset="-79"/>
            </a:rPr>
            <a:t>Resumo</a:t>
          </a:r>
        </a:p>
      </xdr:txBody>
    </xdr:sp>
    <xdr:clientData/>
  </xdr:twoCellAnchor>
  <xdr:twoCellAnchor editAs="oneCell">
    <xdr:from>
      <xdr:col>8</xdr:col>
      <xdr:colOff>59861</xdr:colOff>
      <xdr:row>2</xdr:row>
      <xdr:rowOff>121478</xdr:rowOff>
    </xdr:from>
    <xdr:to>
      <xdr:col>8</xdr:col>
      <xdr:colOff>816871</xdr:colOff>
      <xdr:row>7</xdr:row>
      <xdr:rowOff>152811</xdr:rowOff>
    </xdr:to>
    <xdr:sp macro="[0]!Macro109" textlink="">
      <xdr:nvSpPr>
        <xdr:cNvPr id="3" name="Retângulo: Cantos Arredondados 2">
          <a:extLst>
            <a:ext uri="{FF2B5EF4-FFF2-40B4-BE49-F238E27FC236}">
              <a16:creationId xmlns:a16="http://schemas.microsoft.com/office/drawing/2014/main" id="{00000000-0008-0000-0300-000003000000}"/>
            </a:ext>
          </a:extLst>
        </xdr:cNvPr>
        <xdr:cNvSpPr/>
      </xdr:nvSpPr>
      <xdr:spPr>
        <a:xfrm>
          <a:off x="8672607" y="684929"/>
          <a:ext cx="757010" cy="943586"/>
        </a:xfrm>
        <a:prstGeom prst="roundRect">
          <a:avLst/>
        </a:prstGeom>
        <a:gradFill flip="none" rotWithShape="1">
          <a:gsLst>
            <a:gs pos="0">
              <a:schemeClr val="tx1">
                <a:lumMod val="85000"/>
                <a:lumOff val="15000"/>
              </a:schemeClr>
            </a:gs>
            <a:gs pos="100000">
              <a:schemeClr val="tx1">
                <a:lumMod val="65000"/>
                <a:lumOff val="35000"/>
              </a:schemeClr>
            </a:gs>
          </a:gsLst>
          <a:lin ang="13500000" scaled="1"/>
          <a:tileRect/>
        </a:gradFill>
        <a:ln>
          <a:noFill/>
        </a:ln>
        <a:effectLst/>
      </xdr:spPr>
      <xdr:style>
        <a:lnRef idx="2">
          <a:schemeClr val="accent6"/>
        </a:lnRef>
        <a:fillRef idx="1">
          <a:schemeClr val="lt1"/>
        </a:fillRef>
        <a:effectRef idx="0">
          <a:schemeClr val="accent6"/>
        </a:effectRef>
        <a:fontRef idx="minor">
          <a:schemeClr val="dk1"/>
        </a:fontRef>
      </xdr:style>
      <xdr:txBody>
        <a:bodyPr vertOverflow="overflow" horzOverflow="overflow" vert="horz" rtlCol="0" anchor="ctr"/>
        <a:lstStyle/>
        <a:p>
          <a:pPr lvl="0" algn="ctr"/>
          <a:r>
            <a:rPr lang="pt-BR" sz="900">
              <a:solidFill>
                <a:schemeClr val="bg1"/>
              </a:solidFill>
              <a:effectLst>
                <a:glow rad="101600">
                  <a:schemeClr val="accent4">
                    <a:satMod val="175000"/>
                    <a:alpha val="40000"/>
                  </a:schemeClr>
                </a:glow>
              </a:effectLst>
              <a:latin typeface="Aharoni" panose="02010803020104030203" pitchFamily="2" charset="-79"/>
              <a:cs typeface="Aharoni" panose="02010803020104030203" pitchFamily="2" charset="-79"/>
            </a:rPr>
            <a:t>Detalhes</a:t>
          </a:r>
        </a:p>
      </xdr:txBody>
    </xdr:sp>
    <xdr:clientData/>
  </xdr:twoCellAnchor>
  <xdr:twoCellAnchor editAs="oneCell">
    <xdr:from>
      <xdr:col>1</xdr:col>
      <xdr:colOff>1114993</xdr:colOff>
      <xdr:row>0</xdr:row>
      <xdr:rowOff>43245</xdr:rowOff>
    </xdr:from>
    <xdr:to>
      <xdr:col>1</xdr:col>
      <xdr:colOff>2017242</xdr:colOff>
      <xdr:row>0</xdr:row>
      <xdr:rowOff>191192</xdr:rowOff>
    </xdr:to>
    <xdr:sp macro="[0]!Macro123" textlink="">
      <xdr:nvSpPr>
        <xdr:cNvPr id="4" name="Retângulo: Cantos Arredondados 3">
          <a:extLst>
            <a:ext uri="{FF2B5EF4-FFF2-40B4-BE49-F238E27FC236}">
              <a16:creationId xmlns:a16="http://schemas.microsoft.com/office/drawing/2014/main" id="{00000000-0008-0000-0300-000004000000}"/>
            </a:ext>
          </a:extLst>
        </xdr:cNvPr>
        <xdr:cNvSpPr/>
      </xdr:nvSpPr>
      <xdr:spPr>
        <a:xfrm>
          <a:off x="2067493" y="43245"/>
          <a:ext cx="902249" cy="147947"/>
        </a:xfrm>
        <a:prstGeom prst="roundRect">
          <a:avLst/>
        </a:prstGeom>
        <a:ln>
          <a:solidFill>
            <a:srgbClr val="00B0F0"/>
          </a:solidFill>
        </a:ln>
        <a:effectLst/>
      </xdr:spPr>
      <xdr:style>
        <a:lnRef idx="2">
          <a:schemeClr val="accent6"/>
        </a:lnRef>
        <a:fillRef idx="1">
          <a:schemeClr val="lt1"/>
        </a:fillRef>
        <a:effectRef idx="0">
          <a:schemeClr val="accent6"/>
        </a:effectRef>
        <a:fontRef idx="minor">
          <a:schemeClr val="dk1"/>
        </a:fontRef>
      </xdr:style>
      <xdr:txBody>
        <a:bodyPr vertOverflow="clip" horzOverflow="clip" rtlCol="0" anchor="ctr"/>
        <a:lstStyle/>
        <a:p>
          <a:pPr algn="ctr"/>
          <a:r>
            <a:rPr lang="pt-BR" sz="1100">
              <a:solidFill>
                <a:srgbClr val="00B0F0"/>
              </a:solidFill>
            </a:rPr>
            <a:t>Pendentes</a:t>
          </a:r>
        </a:p>
      </xdr:txBody>
    </xdr:sp>
    <xdr:clientData/>
  </xdr:twoCellAnchor>
  <xdr:twoCellAnchor editAs="oneCell">
    <xdr:from>
      <xdr:col>2</xdr:col>
      <xdr:colOff>290558</xdr:colOff>
      <xdr:row>0</xdr:row>
      <xdr:rowOff>48767</xdr:rowOff>
    </xdr:from>
    <xdr:to>
      <xdr:col>2</xdr:col>
      <xdr:colOff>1695414</xdr:colOff>
      <xdr:row>0</xdr:row>
      <xdr:rowOff>196714</xdr:rowOff>
    </xdr:to>
    <xdr:sp macro="[0]!Macro135" textlink="">
      <xdr:nvSpPr>
        <xdr:cNvPr id="5" name="Retângulo: Cantos Arredondados 4">
          <a:extLst>
            <a:ext uri="{FF2B5EF4-FFF2-40B4-BE49-F238E27FC236}">
              <a16:creationId xmlns:a16="http://schemas.microsoft.com/office/drawing/2014/main" id="{00000000-0008-0000-0300-000005000000}"/>
            </a:ext>
          </a:extLst>
        </xdr:cNvPr>
        <xdr:cNvSpPr/>
      </xdr:nvSpPr>
      <xdr:spPr>
        <a:xfrm>
          <a:off x="3973558" y="48767"/>
          <a:ext cx="1404856" cy="147947"/>
        </a:xfrm>
        <a:prstGeom prst="roundRect">
          <a:avLst/>
        </a:prstGeom>
        <a:ln>
          <a:solidFill>
            <a:srgbClr val="00B0F0"/>
          </a:solidFill>
        </a:ln>
        <a:effectLst/>
      </xdr:spPr>
      <xdr:style>
        <a:lnRef idx="2">
          <a:schemeClr val="accent6"/>
        </a:lnRef>
        <a:fillRef idx="1">
          <a:schemeClr val="lt1"/>
        </a:fillRef>
        <a:effectRef idx="0">
          <a:schemeClr val="accent6"/>
        </a:effectRef>
        <a:fontRef idx="minor">
          <a:schemeClr val="dk1"/>
        </a:fontRef>
      </xdr:style>
      <xdr:txBody>
        <a:bodyPr vertOverflow="clip" horzOverflow="clip" rtlCol="0" anchor="ctr"/>
        <a:lstStyle/>
        <a:p>
          <a:pPr algn="ctr"/>
          <a:r>
            <a:rPr lang="pt-BR" sz="1100">
              <a:solidFill>
                <a:srgbClr val="00B0F0"/>
              </a:solidFill>
            </a:rPr>
            <a:t>Entregue</a:t>
          </a:r>
          <a:r>
            <a:rPr lang="pt-BR" sz="1100" baseline="0">
              <a:solidFill>
                <a:srgbClr val="00B0F0"/>
              </a:solidFill>
            </a:rPr>
            <a:t> com atraso</a:t>
          </a:r>
          <a:endParaRPr lang="pt-BR" sz="1100">
            <a:solidFill>
              <a:srgbClr val="00B0F0"/>
            </a:solidFill>
          </a:endParaRPr>
        </a:p>
      </xdr:txBody>
    </xdr:sp>
    <xdr:clientData/>
  </xdr:twoCellAnchor>
  <xdr:twoCellAnchor editAs="oneCell">
    <xdr:from>
      <xdr:col>1</xdr:col>
      <xdr:colOff>2069406</xdr:colOff>
      <xdr:row>0</xdr:row>
      <xdr:rowOff>47281</xdr:rowOff>
    </xdr:from>
    <xdr:to>
      <xdr:col>2</xdr:col>
      <xdr:colOff>238394</xdr:colOff>
      <xdr:row>0</xdr:row>
      <xdr:rowOff>195227</xdr:rowOff>
    </xdr:to>
    <xdr:sp macro="[0]!Macro131" textlink="">
      <xdr:nvSpPr>
        <xdr:cNvPr id="6" name="Retângulo: Cantos Arredondados 5">
          <a:extLst>
            <a:ext uri="{FF2B5EF4-FFF2-40B4-BE49-F238E27FC236}">
              <a16:creationId xmlns:a16="http://schemas.microsoft.com/office/drawing/2014/main" id="{00000000-0008-0000-0300-000006000000}"/>
            </a:ext>
          </a:extLst>
        </xdr:cNvPr>
        <xdr:cNvSpPr/>
      </xdr:nvSpPr>
      <xdr:spPr>
        <a:xfrm>
          <a:off x="3021906" y="47281"/>
          <a:ext cx="899488" cy="147946"/>
        </a:xfrm>
        <a:prstGeom prst="roundRect">
          <a:avLst/>
        </a:prstGeom>
        <a:ln>
          <a:solidFill>
            <a:srgbClr val="00B0F0"/>
          </a:solidFill>
        </a:ln>
        <a:effectLst/>
      </xdr:spPr>
      <xdr:style>
        <a:lnRef idx="2">
          <a:schemeClr val="accent6"/>
        </a:lnRef>
        <a:fillRef idx="1">
          <a:schemeClr val="lt1"/>
        </a:fillRef>
        <a:effectRef idx="0">
          <a:schemeClr val="accent6"/>
        </a:effectRef>
        <a:fontRef idx="minor">
          <a:schemeClr val="dk1"/>
        </a:fontRef>
      </xdr:style>
      <xdr:txBody>
        <a:bodyPr vertOverflow="clip" horzOverflow="clip" rtlCol="0" anchor="ctr"/>
        <a:lstStyle/>
        <a:p>
          <a:pPr algn="ctr"/>
          <a:r>
            <a:rPr lang="pt-BR" sz="1100">
              <a:solidFill>
                <a:srgbClr val="00B0F0"/>
              </a:solidFill>
            </a:rPr>
            <a:t>Entregues</a:t>
          </a:r>
        </a:p>
      </xdr:txBody>
    </xdr:sp>
    <xdr:clientData/>
  </xdr:twoCellAnchor>
  <xdr:twoCellAnchor editAs="oneCell">
    <xdr:from>
      <xdr:col>2</xdr:col>
      <xdr:colOff>1747578</xdr:colOff>
      <xdr:row>0</xdr:row>
      <xdr:rowOff>48767</xdr:rowOff>
    </xdr:from>
    <xdr:to>
      <xdr:col>3</xdr:col>
      <xdr:colOff>309274</xdr:colOff>
      <xdr:row>0</xdr:row>
      <xdr:rowOff>196713</xdr:rowOff>
    </xdr:to>
    <xdr:sp macro="[0]!Macro139" textlink="">
      <xdr:nvSpPr>
        <xdr:cNvPr id="7" name="Retângulo: Cantos Arredondados 6">
          <a:extLst>
            <a:ext uri="{FF2B5EF4-FFF2-40B4-BE49-F238E27FC236}">
              <a16:creationId xmlns:a16="http://schemas.microsoft.com/office/drawing/2014/main" id="{00000000-0008-0000-0300-000007000000}"/>
            </a:ext>
          </a:extLst>
        </xdr:cNvPr>
        <xdr:cNvSpPr/>
      </xdr:nvSpPr>
      <xdr:spPr>
        <a:xfrm>
          <a:off x="5430578" y="48767"/>
          <a:ext cx="966759" cy="147946"/>
        </a:xfrm>
        <a:prstGeom prst="roundRect">
          <a:avLst/>
        </a:prstGeom>
        <a:ln>
          <a:solidFill>
            <a:srgbClr val="00B0F0"/>
          </a:solidFill>
        </a:ln>
        <a:effectLst/>
      </xdr:spPr>
      <xdr:style>
        <a:lnRef idx="2">
          <a:schemeClr val="accent6"/>
        </a:lnRef>
        <a:fillRef idx="1">
          <a:schemeClr val="lt1"/>
        </a:fillRef>
        <a:effectRef idx="0">
          <a:schemeClr val="accent6"/>
        </a:effectRef>
        <a:fontRef idx="minor">
          <a:schemeClr val="dk1"/>
        </a:fontRef>
      </xdr:style>
      <xdr:txBody>
        <a:bodyPr vertOverflow="clip" horzOverflow="clip" rtlCol="0" anchor="ctr"/>
        <a:lstStyle/>
        <a:p>
          <a:pPr algn="ctr"/>
          <a:r>
            <a:rPr lang="pt-BR" sz="1100">
              <a:solidFill>
                <a:srgbClr val="00B0F0"/>
              </a:solidFill>
            </a:rPr>
            <a:t>Limpar</a:t>
          </a:r>
          <a:r>
            <a:rPr lang="pt-BR" sz="1100" baseline="0">
              <a:solidFill>
                <a:srgbClr val="00B0F0"/>
              </a:solidFill>
            </a:rPr>
            <a:t> filtros</a:t>
          </a:r>
          <a:endParaRPr lang="pt-BR" sz="1100">
            <a:solidFill>
              <a:srgbClr val="00B0F0"/>
            </a:solidFill>
          </a:endParaRPr>
        </a:p>
      </xdr:txBody>
    </xdr:sp>
    <xdr:clientData/>
  </xdr:twoCellAnchor>
  <xdr:twoCellAnchor editAs="oneCell">
    <xdr:from>
      <xdr:col>8</xdr:col>
      <xdr:colOff>855524</xdr:colOff>
      <xdr:row>1</xdr:row>
      <xdr:rowOff>55218</xdr:rowOff>
    </xdr:from>
    <xdr:to>
      <xdr:col>8</xdr:col>
      <xdr:colOff>1534008</xdr:colOff>
      <xdr:row>7</xdr:row>
      <xdr:rowOff>165652</xdr:rowOff>
    </xdr:to>
    <xdr:sp macro="[0]!Macro150" textlink="">
      <xdr:nvSpPr>
        <xdr:cNvPr id="8" name="Retângulo: Cantos Arredondados 7">
          <a:extLst>
            <a:ext uri="{FF2B5EF4-FFF2-40B4-BE49-F238E27FC236}">
              <a16:creationId xmlns:a16="http://schemas.microsoft.com/office/drawing/2014/main" id="{00000000-0008-0000-0300-000008000000}"/>
            </a:ext>
          </a:extLst>
        </xdr:cNvPr>
        <xdr:cNvSpPr>
          <a:spLocks noChangeAspect="1"/>
        </xdr:cNvSpPr>
      </xdr:nvSpPr>
      <xdr:spPr>
        <a:xfrm>
          <a:off x="9468270" y="275232"/>
          <a:ext cx="678484" cy="1366124"/>
        </a:xfrm>
        <a:prstGeom prst="roundRect">
          <a:avLst/>
        </a:prstGeom>
        <a:gradFill flip="none" rotWithShape="1">
          <a:gsLst>
            <a:gs pos="0">
              <a:schemeClr val="bg2">
                <a:lumMod val="25000"/>
                <a:alpha val="74000"/>
              </a:schemeClr>
            </a:gs>
            <a:gs pos="100000">
              <a:schemeClr val="bg2">
                <a:lumMod val="50000"/>
              </a:schemeClr>
            </a:gs>
          </a:gsLst>
          <a:lin ang="13500000" scaled="1"/>
          <a:tileRect/>
        </a:grad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rtlCol="0" anchor="ctr"/>
        <a:lstStyle/>
        <a:p>
          <a:pPr algn="ctr"/>
          <a:r>
            <a:rPr lang="pt-BR" sz="1400">
              <a:effectLst>
                <a:glow rad="139700">
                  <a:schemeClr val="accent4">
                    <a:satMod val="175000"/>
                    <a:alpha val="40000"/>
                  </a:schemeClr>
                </a:glow>
              </a:effectLst>
              <a:latin typeface="Aharoni" panose="02010803020104030203" pitchFamily="2" charset="-79"/>
              <a:cs typeface="Aharoni" panose="02010803020104030203" pitchFamily="2" charset="-79"/>
            </a:rPr>
            <a:t>+</a:t>
          </a:r>
        </a:p>
      </xdr:txBody>
    </xdr:sp>
    <xdr:clientData/>
  </xdr:twoCellAnchor>
  <xdr:twoCellAnchor editAs="oneCell">
    <xdr:from>
      <xdr:col>8</xdr:col>
      <xdr:colOff>71783</xdr:colOff>
      <xdr:row>8</xdr:row>
      <xdr:rowOff>33130</xdr:rowOff>
    </xdr:from>
    <xdr:to>
      <xdr:col>8</xdr:col>
      <xdr:colOff>1507434</xdr:colOff>
      <xdr:row>9</xdr:row>
      <xdr:rowOff>127000</xdr:rowOff>
    </xdr:to>
    <xdr:sp macro="[0]!Macro153" textlink="">
      <xdr:nvSpPr>
        <xdr:cNvPr id="9" name="Retângulo: Cantos Arredondados 8">
          <a:extLst>
            <a:ext uri="{FF2B5EF4-FFF2-40B4-BE49-F238E27FC236}">
              <a16:creationId xmlns:a16="http://schemas.microsoft.com/office/drawing/2014/main" id="{00000000-0008-0000-0300-000009000000}"/>
            </a:ext>
          </a:extLst>
        </xdr:cNvPr>
        <xdr:cNvSpPr>
          <a:spLocks noChangeAspect="1"/>
        </xdr:cNvSpPr>
      </xdr:nvSpPr>
      <xdr:spPr>
        <a:xfrm>
          <a:off x="8685696" y="1689652"/>
          <a:ext cx="1435651" cy="276087"/>
        </a:xfrm>
        <a:prstGeom prst="roundRect">
          <a:avLst/>
        </a:prstGeom>
        <a:gradFill flip="none" rotWithShape="1">
          <a:gsLst>
            <a:gs pos="0">
              <a:schemeClr val="bg2">
                <a:lumMod val="25000"/>
                <a:alpha val="74000"/>
              </a:schemeClr>
            </a:gs>
            <a:gs pos="100000">
              <a:schemeClr val="bg2">
                <a:lumMod val="50000"/>
              </a:schemeClr>
            </a:gs>
          </a:gsLst>
          <a:lin ang="13500000" scaled="1"/>
          <a:tileRect/>
        </a:grad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rtlCol="0" anchor="ctr"/>
        <a:lstStyle/>
        <a:p>
          <a:pPr algn="ctr"/>
          <a:r>
            <a:rPr lang="pt-BR" sz="1400">
              <a:effectLst>
                <a:glow rad="139700">
                  <a:schemeClr val="accent4">
                    <a:satMod val="175000"/>
                    <a:alpha val="40000"/>
                  </a:schemeClr>
                </a:glow>
              </a:effectLst>
              <a:latin typeface="Aharoni" panose="02010803020104030203" pitchFamily="2" charset="-79"/>
              <a:cs typeface="Aharoni" panose="02010803020104030203" pitchFamily="2" charset="-79"/>
            </a:rPr>
            <a:t>&lt;</a:t>
          </a:r>
        </a:p>
      </xdr:txBody>
    </xdr:sp>
    <xdr:clientData/>
  </xdr:twoCellAnchor>
  <xdr:twoCellAnchor editAs="oneCell">
    <xdr:from>
      <xdr:col>8</xdr:col>
      <xdr:colOff>77304</xdr:colOff>
      <xdr:row>9</xdr:row>
      <xdr:rowOff>182217</xdr:rowOff>
    </xdr:from>
    <xdr:to>
      <xdr:col>8</xdr:col>
      <xdr:colOff>1512955</xdr:colOff>
      <xdr:row>11</xdr:row>
      <xdr:rowOff>93870</xdr:rowOff>
    </xdr:to>
    <xdr:sp macro="[0]!Macro154" textlink="">
      <xdr:nvSpPr>
        <xdr:cNvPr id="10" name="Retângulo: Cantos Arredondados 9">
          <a:extLst>
            <a:ext uri="{FF2B5EF4-FFF2-40B4-BE49-F238E27FC236}">
              <a16:creationId xmlns:a16="http://schemas.microsoft.com/office/drawing/2014/main" id="{00000000-0008-0000-0300-00000A000000}"/>
            </a:ext>
          </a:extLst>
        </xdr:cNvPr>
        <xdr:cNvSpPr>
          <a:spLocks noChangeAspect="1"/>
        </xdr:cNvSpPr>
      </xdr:nvSpPr>
      <xdr:spPr>
        <a:xfrm>
          <a:off x="8691217" y="2020956"/>
          <a:ext cx="1435651" cy="276088"/>
        </a:xfrm>
        <a:prstGeom prst="roundRect">
          <a:avLst/>
        </a:prstGeom>
        <a:gradFill flip="none" rotWithShape="1">
          <a:gsLst>
            <a:gs pos="0">
              <a:schemeClr val="bg2">
                <a:lumMod val="25000"/>
                <a:alpha val="74000"/>
              </a:schemeClr>
            </a:gs>
            <a:gs pos="100000">
              <a:schemeClr val="bg2">
                <a:lumMod val="50000"/>
              </a:schemeClr>
            </a:gs>
          </a:gsLst>
          <a:lin ang="13500000" scaled="1"/>
          <a:tileRect/>
        </a:grad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rtlCol="0" anchor="ctr"/>
        <a:lstStyle/>
        <a:p>
          <a:pPr algn="ctr"/>
          <a:r>
            <a:rPr lang="pt-BR" sz="1400">
              <a:effectLst>
                <a:glow rad="139700">
                  <a:schemeClr val="accent4">
                    <a:satMod val="175000"/>
                    <a:alpha val="40000"/>
                  </a:schemeClr>
                </a:glow>
              </a:effectLst>
              <a:latin typeface="Aharoni" panose="02010803020104030203" pitchFamily="2" charset="-79"/>
              <a:cs typeface="Aharoni" panose="02010803020104030203" pitchFamily="2" charset="-79"/>
            </a:rPr>
            <a:t>&gt;</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xdr:col>
      <xdr:colOff>3008923</xdr:colOff>
      <xdr:row>0</xdr:row>
      <xdr:rowOff>31585</xdr:rowOff>
    </xdr:from>
    <xdr:to>
      <xdr:col>2</xdr:col>
      <xdr:colOff>679781</xdr:colOff>
      <xdr:row>0</xdr:row>
      <xdr:rowOff>262758</xdr:rowOff>
    </xdr:to>
    <xdr:sp macro="[0]!Macro148" textlink="">
      <xdr:nvSpPr>
        <xdr:cNvPr id="2" name="Retângulo: Cantos Arredondados 1">
          <a:extLst>
            <a:ext uri="{FF2B5EF4-FFF2-40B4-BE49-F238E27FC236}">
              <a16:creationId xmlns:a16="http://schemas.microsoft.com/office/drawing/2014/main" id="{00000000-0008-0000-0400-000002000000}"/>
            </a:ext>
          </a:extLst>
        </xdr:cNvPr>
        <xdr:cNvSpPr/>
      </xdr:nvSpPr>
      <xdr:spPr>
        <a:xfrm>
          <a:off x="5895514" y="31585"/>
          <a:ext cx="872760" cy="231173"/>
        </a:xfrm>
        <a:prstGeom prst="roundRect">
          <a:avLst/>
        </a:prstGeom>
        <a:ln>
          <a:solidFill>
            <a:srgbClr val="00B0F0"/>
          </a:solidFill>
        </a:ln>
        <a:effectLst>
          <a:reflection blurRad="6350" stA="52000" endA="300" endPos="35000" dir="5400000" sy="-100000" algn="bl" rotWithShape="0"/>
        </a:effectLst>
      </xdr:spPr>
      <xdr:style>
        <a:lnRef idx="2">
          <a:schemeClr val="accent6"/>
        </a:lnRef>
        <a:fillRef idx="1">
          <a:schemeClr val="lt1"/>
        </a:fillRef>
        <a:effectRef idx="0">
          <a:schemeClr val="accent6"/>
        </a:effectRef>
        <a:fontRef idx="minor">
          <a:schemeClr val="dk1"/>
        </a:fontRef>
      </xdr:style>
      <xdr:txBody>
        <a:bodyPr vertOverflow="clip" horzOverflow="clip" rtlCol="0" anchor="ctr"/>
        <a:lstStyle/>
        <a:p>
          <a:pPr algn="ctr"/>
          <a:r>
            <a:rPr lang="pt-BR" sz="1100">
              <a:solidFill>
                <a:srgbClr val="00B0F0"/>
              </a:solidFill>
            </a:rPr>
            <a:t>+ adicionar</a:t>
          </a:r>
        </a:p>
      </xdr:txBody>
    </xdr:sp>
    <xdr:clientData/>
  </xdr:twoCellAnchor>
  <xdr:twoCellAnchor>
    <xdr:from>
      <xdr:col>2</xdr:col>
      <xdr:colOff>60323</xdr:colOff>
      <xdr:row>1</xdr:row>
      <xdr:rowOff>52075</xdr:rowOff>
    </xdr:from>
    <xdr:to>
      <xdr:col>2</xdr:col>
      <xdr:colOff>645860</xdr:colOff>
      <xdr:row>5</xdr:row>
      <xdr:rowOff>144141</xdr:rowOff>
    </xdr:to>
    <xdr:sp macro="[0]!Macro144" textlink="">
      <xdr:nvSpPr>
        <xdr:cNvPr id="4" name="Retângulo: Cantos Arredondados 3">
          <a:extLst>
            <a:ext uri="{FF2B5EF4-FFF2-40B4-BE49-F238E27FC236}">
              <a16:creationId xmlns:a16="http://schemas.microsoft.com/office/drawing/2014/main" id="{00000000-0008-0000-0400-000004000000}"/>
            </a:ext>
          </a:extLst>
        </xdr:cNvPr>
        <xdr:cNvSpPr/>
      </xdr:nvSpPr>
      <xdr:spPr>
        <a:xfrm>
          <a:off x="6578779" y="324500"/>
          <a:ext cx="585537" cy="1008045"/>
        </a:xfrm>
        <a:prstGeom prst="roundRect">
          <a:avLst/>
        </a:prstGeom>
        <a:gradFill flip="none" rotWithShape="1">
          <a:gsLst>
            <a:gs pos="0">
              <a:srgbClr val="5C0000"/>
            </a:gs>
            <a:gs pos="100000">
              <a:srgbClr val="FF0000"/>
            </a:gs>
          </a:gsLst>
          <a:lin ang="13500000" scaled="1"/>
          <a:tileRect/>
        </a:gradFill>
        <a:ln>
          <a:noFill/>
        </a:ln>
        <a:effectLst>
          <a:glow rad="63500">
            <a:schemeClr val="accent1">
              <a:satMod val="175000"/>
              <a:alpha val="40000"/>
            </a:schemeClr>
          </a:glo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400">
              <a:latin typeface="Aharoni" panose="02010803020104030203" pitchFamily="2" charset="-79"/>
              <a:cs typeface="Aharoni" panose="02010803020104030203" pitchFamily="2" charset="-79"/>
            </a:rPr>
            <a:t>ok</a:t>
          </a:r>
        </a:p>
      </xdr:txBody>
    </xdr:sp>
    <xdr:clientData/>
  </xdr:twoCellAnchor>
  <xdr:twoCellAnchor>
    <xdr:from>
      <xdr:col>1</xdr:col>
      <xdr:colOff>2090900</xdr:colOff>
      <xdr:row>0</xdr:row>
      <xdr:rowOff>31585</xdr:rowOff>
    </xdr:from>
    <xdr:to>
      <xdr:col>1</xdr:col>
      <xdr:colOff>2962158</xdr:colOff>
      <xdr:row>0</xdr:row>
      <xdr:rowOff>255251</xdr:rowOff>
    </xdr:to>
    <xdr:sp macro="[0]!Macro149" textlink="">
      <xdr:nvSpPr>
        <xdr:cNvPr id="9" name="Retângulo: Cantos Arredondados 8">
          <a:extLst>
            <a:ext uri="{FF2B5EF4-FFF2-40B4-BE49-F238E27FC236}">
              <a16:creationId xmlns:a16="http://schemas.microsoft.com/office/drawing/2014/main" id="{00000000-0008-0000-0400-000009000000}"/>
            </a:ext>
          </a:extLst>
        </xdr:cNvPr>
        <xdr:cNvSpPr/>
      </xdr:nvSpPr>
      <xdr:spPr>
        <a:xfrm>
          <a:off x="4977491" y="31585"/>
          <a:ext cx="871258" cy="223666"/>
        </a:xfrm>
        <a:prstGeom prst="roundRect">
          <a:avLst/>
        </a:prstGeom>
        <a:ln>
          <a:solidFill>
            <a:srgbClr val="00B0F0"/>
          </a:solidFill>
        </a:ln>
        <a:effectLst>
          <a:reflection blurRad="6350" stA="52000" endA="300" endPos="35000" dir="5400000" sy="-100000" algn="bl" rotWithShape="0"/>
        </a:effectLst>
      </xdr:spPr>
      <xdr:style>
        <a:lnRef idx="2">
          <a:schemeClr val="accent6"/>
        </a:lnRef>
        <a:fillRef idx="1">
          <a:schemeClr val="lt1"/>
        </a:fillRef>
        <a:effectRef idx="0">
          <a:schemeClr val="accent6"/>
        </a:effectRef>
        <a:fontRef idx="minor">
          <a:schemeClr val="dk1"/>
        </a:fontRef>
      </xdr:style>
      <xdr:txBody>
        <a:bodyPr vertOverflow="clip" horzOverflow="clip" rtlCol="0" anchor="ctr"/>
        <a:lstStyle/>
        <a:p>
          <a:pPr algn="ctr"/>
          <a:r>
            <a:rPr lang="pt-BR" sz="1100">
              <a:solidFill>
                <a:srgbClr val="00B0F0"/>
              </a:solidFill>
            </a:rPr>
            <a:t>limpar</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7</xdr:col>
      <xdr:colOff>457200</xdr:colOff>
      <xdr:row>9</xdr:row>
      <xdr:rowOff>3810</xdr:rowOff>
    </xdr:from>
    <xdr:to>
      <xdr:col>15</xdr:col>
      <xdr:colOff>152400</xdr:colOff>
      <xdr:row>24</xdr:row>
      <xdr:rowOff>3810</xdr:rowOff>
    </xdr:to>
    <xdr:graphicFrame macro="">
      <xdr:nvGraphicFramePr>
        <xdr:cNvPr id="3" name="Gráfico 2">
          <a:extLst>
            <a:ext uri="{FF2B5EF4-FFF2-40B4-BE49-F238E27FC236}">
              <a16:creationId xmlns:a16="http://schemas.microsoft.com/office/drawing/2014/main" id="{EC643434-E013-46EB-8C2C-3EA7FAC8DF0D}"/>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563880</xdr:colOff>
      <xdr:row>9</xdr:row>
      <xdr:rowOff>163830</xdr:rowOff>
    </xdr:from>
    <xdr:to>
      <xdr:col>6</xdr:col>
      <xdr:colOff>403860</xdr:colOff>
      <xdr:row>24</xdr:row>
      <xdr:rowOff>163830</xdr:rowOff>
    </xdr:to>
    <xdr:graphicFrame macro="">
      <xdr:nvGraphicFramePr>
        <xdr:cNvPr id="5" name="Gráfico 4">
          <a:extLst>
            <a:ext uri="{FF2B5EF4-FFF2-40B4-BE49-F238E27FC236}">
              <a16:creationId xmlns:a16="http://schemas.microsoft.com/office/drawing/2014/main" id="{06169E8E-0017-42EE-988D-5B59302E46C1}"/>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xdr:col>
      <xdr:colOff>320040</xdr:colOff>
      <xdr:row>9</xdr:row>
      <xdr:rowOff>3810</xdr:rowOff>
    </xdr:from>
    <xdr:to>
      <xdr:col>13</xdr:col>
      <xdr:colOff>15240</xdr:colOff>
      <xdr:row>24</xdr:row>
      <xdr:rowOff>3810</xdr:rowOff>
    </xdr:to>
    <xdr:graphicFrame macro="">
      <xdr:nvGraphicFramePr>
        <xdr:cNvPr id="7" name="Gráfico 6">
          <a:extLst>
            <a:ext uri="{FF2B5EF4-FFF2-40B4-BE49-F238E27FC236}">
              <a16:creationId xmlns:a16="http://schemas.microsoft.com/office/drawing/2014/main" id="{30EB7857-88D1-4949-AA27-578B0AF2D24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5</xdr:col>
      <xdr:colOff>320040</xdr:colOff>
      <xdr:row>9</xdr:row>
      <xdr:rowOff>3810</xdr:rowOff>
    </xdr:from>
    <xdr:to>
      <xdr:col>13</xdr:col>
      <xdr:colOff>15240</xdr:colOff>
      <xdr:row>24</xdr:row>
      <xdr:rowOff>3810</xdr:rowOff>
    </xdr:to>
    <xdr:graphicFrame macro="">
      <xdr:nvGraphicFramePr>
        <xdr:cNvPr id="8" name="Gráfico 7">
          <a:extLst>
            <a:ext uri="{FF2B5EF4-FFF2-40B4-BE49-F238E27FC236}">
              <a16:creationId xmlns:a16="http://schemas.microsoft.com/office/drawing/2014/main" id="{32C50B4A-0CED-4569-B0E3-AADFB0C5CA65}"/>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5</xdr:col>
      <xdr:colOff>320040</xdr:colOff>
      <xdr:row>9</xdr:row>
      <xdr:rowOff>3810</xdr:rowOff>
    </xdr:from>
    <xdr:to>
      <xdr:col>13</xdr:col>
      <xdr:colOff>15240</xdr:colOff>
      <xdr:row>24</xdr:row>
      <xdr:rowOff>3810</xdr:rowOff>
    </xdr:to>
    <xdr:graphicFrame macro="">
      <xdr:nvGraphicFramePr>
        <xdr:cNvPr id="9" name="Gráfico 8">
          <a:extLst>
            <a:ext uri="{FF2B5EF4-FFF2-40B4-BE49-F238E27FC236}">
              <a16:creationId xmlns:a16="http://schemas.microsoft.com/office/drawing/2014/main" id="{83292536-3EEA-423B-B39E-AF537E7D215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5</xdr:col>
      <xdr:colOff>320040</xdr:colOff>
      <xdr:row>11</xdr:row>
      <xdr:rowOff>91440</xdr:rowOff>
    </xdr:from>
    <xdr:to>
      <xdr:col>13</xdr:col>
      <xdr:colOff>15240</xdr:colOff>
      <xdr:row>26</xdr:row>
      <xdr:rowOff>91440</xdr:rowOff>
    </xdr:to>
    <xdr:graphicFrame macro="">
      <xdr:nvGraphicFramePr>
        <xdr:cNvPr id="13" name="Gráfico 12">
          <a:extLst>
            <a:ext uri="{FF2B5EF4-FFF2-40B4-BE49-F238E27FC236}">
              <a16:creationId xmlns:a16="http://schemas.microsoft.com/office/drawing/2014/main" id="{543B3C6F-B562-4455-AB73-C24400C82FC4}"/>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ALU_Historico.aspx?96911;%20%201577;%20%20%20%20%20%20%2056;%20%203267#" refreshOnLoad="1" preserveFormatting="0" connectionId="1" xr16:uid="{BCD3351D-8A6D-4E2D-B4D2-D559E3A31A49}" autoFormatId="16" applyNumberFormats="0" applyBorderFormats="0" applyFontFormats="1" applyPatternFormats="1" applyAlignmentFormats="0" applyWidthHeightFormats="0"/>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ALU_Historico.aspx?96911;%20%201577;%20%20%20%20%20%20%2056;%20%203267#" refreshOnLoad="1" growShrinkType="overwriteClear" preserveFormatting="0" connectionId="2" xr16:uid="{38E1B5C4-0481-4000-971D-04E5CD16DCC9}" autoFormatId="16" applyNumberFormats="0" applyBorderFormats="0" applyFontFormats="1" applyPatternFormats="1" applyAlignmentFormats="0" applyWidthHeightFormats="0"/>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DCA8340C-6C35-4B42-8A17-D0CC0803EE02}" name="Tabela69" displayName="Tabela69" ref="A11:F18" totalsRowShown="0" headerRowDxfId="40" dataDxfId="38" headerRowBorderDxfId="39" tableBorderDxfId="37" totalsRowBorderDxfId="36">
  <autoFilter ref="A11:F18" xr:uid="{6C925991-FBA6-4EC3-9CB5-2DC0011A17D4}"/>
  <tableColumns count="6">
    <tableColumn id="1" xr3:uid="{8AB51D32-7834-44D8-8944-32AD2EEE64D8}" name="Horário" dataDxfId="35"/>
    <tableColumn id="2" xr3:uid="{29D99971-CC8A-4435-9F65-647D4998C6AE}" name="Segunda" dataDxfId="34"/>
    <tableColumn id="3" xr3:uid="{F1F116E5-B50A-4EF9-8EE5-E7081E18FA53}" name="Terça" dataDxfId="33"/>
    <tableColumn id="4" xr3:uid="{75302303-B409-451B-99EE-92A14328CA8B}" name="Quarta" dataDxfId="32"/>
    <tableColumn id="5" xr3:uid="{705BD2DD-A4A8-41C3-8CCD-6C13EFFEC90D}" name="Quinta" dataDxfId="31"/>
    <tableColumn id="6" xr3:uid="{0157CBEC-DD1F-4601-8033-4F42F4376CD0}" name="Sexta" dataDxfId="30"/>
  </tableColumns>
  <tableStyleInfo name="TableStyleDark1" showFirstColumn="1" showLastColumn="0" showRowStripes="0"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A9B9DEEA-8452-4CA0-AB83-DCD8C35AA71C}" name="Tabela3" displayName="Tabela3" ref="A2:H12" totalsRowShown="0" headerRowDxfId="9" dataDxfId="8">
  <autoFilter ref="A2:H12" xr:uid="{024FFA2D-7BBB-49E7-8F0C-E0C9FDECBE3B}"/>
  <sortState xmlns:xlrd2="http://schemas.microsoft.com/office/spreadsheetml/2017/richdata2" ref="A3:H12">
    <sortCondition descending="1" ref="C2:C12"/>
  </sortState>
  <tableColumns count="8">
    <tableColumn id="9" xr3:uid="{D1012421-9917-4065-BE4F-82E26F366E94}" name="NÚMERO" dataDxfId="7"/>
    <tableColumn id="2" xr3:uid="{530E17FB-FFBE-47F5-8EDD-ED42E4760768}" name="TRABALHO" dataDxfId="6"/>
    <tableColumn id="3" xr3:uid="{44B2BA33-F1D5-4A4C-8257-FDDA7B07CD4D}" name="DATA DE ENTREGA DO TRABALHO" dataDxfId="5"/>
    <tableColumn id="4" xr3:uid="{8C55C251-8429-4DBF-8C48-016BD2E6452D}" name="MATÉRIA" dataDxfId="4"/>
    <tableColumn id="5" xr3:uid="{23479FD6-44BD-423D-8761-655E7E06E586}" name="DATA QUE FOI PASSADO O TRABALHO" dataDxfId="3"/>
    <tableColumn id="6" xr3:uid="{577E497D-1CC0-48F3-B080-3AABDC5F38D7}" name="MENÇÃO" dataDxfId="2"/>
    <tableColumn id="7" xr3:uid="{4879ABF5-6B4F-4C06-A68B-8753A287EAAD}" name="STATUS" dataDxfId="1"/>
    <tableColumn id="14" xr3:uid="{51830EB9-2731-4C9C-88B9-4EF3A63E373B}" name="ANALISE" dataDxfId="0"/>
  </tableColumns>
  <tableStyleInfo name="TableStyleDark1" showFirstColumn="0" showLastColumn="0" showRowStripes="1" showColumnStripes="0"/>
</table>
</file>

<file path=xl/theme/theme1.xml><?xml version="1.0" encoding="utf-8"?>
<a:theme xmlns:a="http://schemas.openxmlformats.org/drawingml/2006/main" name="Tema do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5.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drawing" Target="../drawings/drawing3.xml"/><Relationship Id="rId1"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3.bin"/></Relationships>
</file>

<file path=xl/worksheets/_rels/sheet8.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4.bin"/></Relationships>
</file>

<file path=xl/worksheets/_rels/sheet9.xml.rels><?xml version="1.0" encoding="UTF-8" standalone="yes"?>
<Relationships xmlns="http://schemas.openxmlformats.org/package/2006/relationships"><Relationship Id="rId2" Type="http://schemas.openxmlformats.org/officeDocument/2006/relationships/queryTable" Target="../queryTables/queryTable2.xml"/><Relationship Id="rId1" Type="http://schemas.openxmlformats.org/officeDocument/2006/relationships/drawing" Target="../drawings/drawing5.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CAF238-2ED8-4783-A36A-9C2C5370B664}">
  <sheetPr codeName="Planilha1"/>
  <dimension ref="A2:G18"/>
  <sheetViews>
    <sheetView workbookViewId="0">
      <selection activeCell="G1" sqref="G1"/>
    </sheetView>
  </sheetViews>
  <sheetFormatPr defaultRowHeight="14.4" x14ac:dyDescent="0.3"/>
  <cols>
    <col min="1" max="1" width="9.109375" customWidth="1"/>
    <col min="2" max="2" width="39.21875" bestFit="1" customWidth="1"/>
    <col min="3" max="3" width="13.33203125" bestFit="1" customWidth="1"/>
    <col min="4" max="4" width="13.21875" bestFit="1" customWidth="1"/>
    <col min="5" max="7" width="12.77734375" bestFit="1" customWidth="1"/>
    <col min="8" max="8" width="12.44140625" customWidth="1"/>
    <col min="9" max="9" width="13.33203125" bestFit="1" customWidth="1"/>
    <col min="10" max="10" width="39.21875" bestFit="1" customWidth="1"/>
    <col min="11" max="11" width="34.21875" bestFit="1" customWidth="1"/>
    <col min="12" max="12" width="13.33203125" bestFit="1" customWidth="1"/>
    <col min="13" max="13" width="37.88671875" bestFit="1" customWidth="1"/>
    <col min="14" max="14" width="13.21875" bestFit="1" customWidth="1"/>
    <col min="15" max="15" width="21.88671875" bestFit="1" customWidth="1"/>
    <col min="16" max="16" width="12.6640625" bestFit="1" customWidth="1"/>
    <col min="17" max="17" width="9.5546875" bestFit="1" customWidth="1"/>
    <col min="18" max="18" width="32.44140625" bestFit="1" customWidth="1"/>
  </cols>
  <sheetData>
    <row r="2" spans="1:7" ht="18" customHeight="1" x14ac:dyDescent="0.3"/>
    <row r="3" spans="1:7" ht="18" customHeight="1" x14ac:dyDescent="0.3"/>
    <row r="5" spans="1:7" ht="18" customHeight="1" x14ac:dyDescent="0.3"/>
    <row r="10" spans="1:7" ht="14.4" customHeight="1" x14ac:dyDescent="0.3"/>
    <row r="11" spans="1:7" ht="18" x14ac:dyDescent="0.3">
      <c r="A11" s="27" t="s">
        <v>47</v>
      </c>
      <c r="B11" s="28" t="s">
        <v>40</v>
      </c>
      <c r="C11" s="28" t="s">
        <v>41</v>
      </c>
      <c r="D11" s="28" t="s">
        <v>42</v>
      </c>
      <c r="E11" s="28" t="s">
        <v>43</v>
      </c>
      <c r="F11" s="29" t="s">
        <v>44</v>
      </c>
      <c r="G11" s="30" t="e">
        <f ca="1">VLOOKUP($B$11,$B$11:$F$11,WEEKDAY(TODAY(),2),FALSE)</f>
        <v>#REF!</v>
      </c>
    </row>
    <row r="12" spans="1:7" ht="18" x14ac:dyDescent="0.3">
      <c r="A12" s="31">
        <v>0.2986111111111111</v>
      </c>
      <c r="B12" s="32"/>
      <c r="C12" s="32"/>
      <c r="D12" s="32" t="s">
        <v>45</v>
      </c>
      <c r="E12" s="32"/>
      <c r="F12" s="33"/>
      <c r="G12" s="34" t="e">
        <f ca="1">HLOOKUP($G$11,$B$11:$F$17,2,FALSE)</f>
        <v>#REF!</v>
      </c>
    </row>
    <row r="13" spans="1:7" ht="18" x14ac:dyDescent="0.3">
      <c r="A13" s="31">
        <v>0.33333333333333331</v>
      </c>
      <c r="B13" s="32"/>
      <c r="C13" s="32"/>
      <c r="D13" s="32" t="s">
        <v>45</v>
      </c>
      <c r="E13" s="32"/>
      <c r="F13" s="33"/>
      <c r="G13" s="34" t="e">
        <f ca="1">HLOOKUP($G$11,$B$11:$F$17,3,FALSE)</f>
        <v>#REF!</v>
      </c>
    </row>
    <row r="14" spans="1:7" ht="18" x14ac:dyDescent="0.3">
      <c r="A14" s="31">
        <v>0.36805555555555602</v>
      </c>
      <c r="B14" s="32"/>
      <c r="C14" s="32"/>
      <c r="D14" s="32" t="s">
        <v>12</v>
      </c>
      <c r="E14" s="32"/>
      <c r="F14" s="33"/>
      <c r="G14" s="34" t="e">
        <f ca="1">HLOOKUP($G$11,$B$11:$F$17,4,FALSE)</f>
        <v>#REF!</v>
      </c>
    </row>
    <row r="15" spans="1:7" ht="18" x14ac:dyDescent="0.3">
      <c r="A15" s="31">
        <v>0.40277777777777901</v>
      </c>
      <c r="B15" s="35" t="s">
        <v>24</v>
      </c>
      <c r="C15" s="35" t="s">
        <v>24</v>
      </c>
      <c r="D15" s="35" t="s">
        <v>24</v>
      </c>
      <c r="E15" s="35" t="s">
        <v>24</v>
      </c>
      <c r="F15" s="36" t="s">
        <v>24</v>
      </c>
      <c r="G15" s="34" t="e">
        <f ca="1">HLOOKUP($G$11,$B$11:$F$17,5,FALSE)</f>
        <v>#REF!</v>
      </c>
    </row>
    <row r="16" spans="1:7" ht="18" x14ac:dyDescent="0.3">
      <c r="A16" s="31">
        <v>0.41666666666666669</v>
      </c>
      <c r="B16" s="32"/>
      <c r="C16" s="32"/>
      <c r="D16" s="32" t="s">
        <v>11</v>
      </c>
      <c r="E16" s="32"/>
      <c r="F16" s="33"/>
      <c r="G16" s="34" t="e">
        <f ca="1">HLOOKUP($G$11,$B$11:$F$17,6,FALSE)</f>
        <v>#REF!</v>
      </c>
    </row>
    <row r="17" spans="1:7" ht="18" x14ac:dyDescent="0.3">
      <c r="A17" s="31">
        <v>0.4513888888888889</v>
      </c>
      <c r="B17" s="32"/>
      <c r="C17" s="32"/>
      <c r="D17" s="32" t="s">
        <v>46</v>
      </c>
      <c r="E17" s="32"/>
      <c r="F17" s="33"/>
      <c r="G17" s="34" t="e">
        <f ca="1">HLOOKUP($G$11,$B$11:$F$17,7,FALSE)</f>
        <v>#REF!</v>
      </c>
    </row>
    <row r="18" spans="1:7" ht="18" x14ac:dyDescent="0.3">
      <c r="A18" s="37">
        <v>0.4861111111111111</v>
      </c>
      <c r="B18" s="38" t="s">
        <v>23</v>
      </c>
      <c r="C18" s="38" t="s">
        <v>23</v>
      </c>
      <c r="D18" s="38" t="s">
        <v>23</v>
      </c>
      <c r="E18" s="38" t="s">
        <v>23</v>
      </c>
      <c r="F18" s="38" t="s">
        <v>23</v>
      </c>
      <c r="G18" s="38" t="s">
        <v>23</v>
      </c>
    </row>
  </sheetData>
  <phoneticPr fontId="2" type="noConversion"/>
  <pageMargins left="0.511811024" right="0.511811024" top="0.78740157499999996" bottom="0.78740157499999996" header="0.31496062000000002" footer="0.31496062000000002"/>
  <pageSetup paperSize="9" orientation="portrait" horizontalDpi="0" verticalDpi="0" r:id="rId1"/>
  <tableParts count="1">
    <tablePart r:id="rId2"/>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E856849-2A4C-4EBE-B92C-09559F748F38}">
  <sheetPr codeName="Planilha7"/>
  <dimension ref="A1:Z41"/>
  <sheetViews>
    <sheetView showGridLines="0" zoomScaleNormal="100" workbookViewId="0">
      <selection activeCell="N15" sqref="N15"/>
    </sheetView>
  </sheetViews>
  <sheetFormatPr defaultRowHeight="14.4" x14ac:dyDescent="0.3"/>
  <cols>
    <col min="1" max="1" width="4" customWidth="1"/>
    <col min="2" max="2" width="39.21875" bestFit="1" customWidth="1"/>
    <col min="3" max="3" width="28.44140625" bestFit="1" customWidth="1"/>
    <col min="4" max="5" width="12.33203125" bestFit="1" customWidth="1"/>
    <col min="6" max="6" width="24.5546875" bestFit="1" customWidth="1"/>
  </cols>
  <sheetData>
    <row r="1" spans="1:26" x14ac:dyDescent="0.3">
      <c r="A1" s="23"/>
      <c r="B1" s="23"/>
      <c r="C1" s="23"/>
      <c r="D1" s="23"/>
      <c r="E1" s="23"/>
      <c r="F1" s="23"/>
      <c r="G1" s="23"/>
      <c r="H1" s="23"/>
      <c r="I1" s="23"/>
      <c r="J1" s="23"/>
      <c r="K1" s="23"/>
      <c r="L1" s="23"/>
      <c r="M1" s="23"/>
      <c r="N1" s="23"/>
      <c r="O1" s="23"/>
      <c r="P1" s="23"/>
      <c r="Q1" s="23"/>
      <c r="R1" s="23"/>
      <c r="S1" s="23"/>
      <c r="T1" s="23"/>
      <c r="U1" s="23"/>
      <c r="V1" s="23"/>
      <c r="W1" s="23"/>
      <c r="X1" s="23"/>
      <c r="Y1" s="23"/>
      <c r="Z1" s="23"/>
    </row>
    <row r="2" spans="1:26" x14ac:dyDescent="0.3">
      <c r="A2" s="23"/>
      <c r="B2" s="23"/>
      <c r="C2" s="89">
        <f ca="1">NOW()</f>
        <v>44205.817556712966</v>
      </c>
      <c r="D2" s="23"/>
      <c r="E2" s="23"/>
      <c r="F2" s="23"/>
      <c r="G2" s="23"/>
      <c r="H2" s="23"/>
      <c r="I2" s="23"/>
      <c r="J2" s="23"/>
      <c r="K2" s="23"/>
      <c r="L2" s="23"/>
      <c r="M2" s="23"/>
      <c r="N2" s="23"/>
      <c r="O2" s="23"/>
      <c r="P2" s="23"/>
      <c r="Q2" s="23"/>
      <c r="R2" s="23"/>
      <c r="S2" s="23"/>
      <c r="T2" s="23"/>
      <c r="U2" s="23"/>
      <c r="V2" s="23"/>
      <c r="W2" s="23"/>
      <c r="X2" s="23"/>
      <c r="Y2" s="23"/>
      <c r="Z2" s="23"/>
    </row>
    <row r="3" spans="1:26" x14ac:dyDescent="0.3">
      <c r="A3" s="23"/>
      <c r="B3" s="23"/>
      <c r="C3" s="23"/>
      <c r="D3" s="23"/>
      <c r="E3" s="23"/>
      <c r="F3" s="23"/>
      <c r="G3" s="23"/>
      <c r="H3" s="23"/>
      <c r="I3" s="23"/>
      <c r="J3" s="23"/>
      <c r="K3" s="23"/>
      <c r="L3" s="23"/>
      <c r="M3" s="23"/>
      <c r="N3" s="23"/>
      <c r="O3" s="23"/>
      <c r="P3" s="23"/>
      <c r="Q3" s="23"/>
      <c r="R3" s="23"/>
      <c r="S3" s="23"/>
      <c r="T3" s="23"/>
      <c r="U3" s="23"/>
      <c r="V3" s="23"/>
      <c r="W3" s="23"/>
      <c r="X3" s="23"/>
      <c r="Y3" s="23"/>
      <c r="Z3" s="23"/>
    </row>
    <row r="4" spans="1:26" x14ac:dyDescent="0.3">
      <c r="A4" s="23"/>
      <c r="B4" s="23"/>
      <c r="C4" s="23"/>
      <c r="D4" s="23"/>
      <c r="E4" s="23"/>
      <c r="F4" s="23"/>
      <c r="G4" s="23"/>
      <c r="H4" s="23"/>
      <c r="I4" s="23"/>
      <c r="J4" s="23"/>
      <c r="K4" s="23"/>
      <c r="L4" s="23"/>
      <c r="M4" s="23"/>
      <c r="N4" s="23"/>
      <c r="O4" s="23"/>
      <c r="P4" s="23"/>
      <c r="Q4" s="23"/>
      <c r="R4" s="23"/>
      <c r="S4" s="23"/>
      <c r="T4" s="23"/>
      <c r="U4" s="23"/>
      <c r="V4" s="23"/>
      <c r="W4" s="23"/>
      <c r="X4" s="23"/>
      <c r="Y4" s="23"/>
      <c r="Z4" s="23"/>
    </row>
    <row r="5" spans="1:26" x14ac:dyDescent="0.3">
      <c r="A5" s="23"/>
      <c r="B5" s="23"/>
      <c r="C5" s="23"/>
      <c r="D5" s="23"/>
      <c r="E5" s="23"/>
      <c r="F5" s="23"/>
      <c r="G5" s="23"/>
      <c r="H5" s="23"/>
      <c r="I5" s="23"/>
      <c r="J5" s="23"/>
      <c r="K5" s="23"/>
      <c r="L5" s="23"/>
      <c r="M5" s="23"/>
      <c r="N5" s="23"/>
      <c r="O5" s="23"/>
      <c r="P5" s="23"/>
      <c r="Q5" s="23"/>
      <c r="R5" s="23"/>
      <c r="S5" s="23"/>
      <c r="T5" s="23"/>
      <c r="U5" s="23"/>
      <c r="V5" s="23"/>
      <c r="W5" s="23"/>
      <c r="X5" s="23"/>
      <c r="Y5" s="23"/>
      <c r="Z5" s="23"/>
    </row>
    <row r="6" spans="1:26" x14ac:dyDescent="0.3">
      <c r="A6" s="23"/>
      <c r="B6" s="23"/>
      <c r="C6" s="23"/>
      <c r="D6" s="23"/>
      <c r="E6" s="23"/>
      <c r="F6" s="23"/>
      <c r="G6" s="23"/>
      <c r="H6" s="23"/>
      <c r="I6" s="23"/>
      <c r="J6" s="23"/>
      <c r="K6" s="23"/>
      <c r="L6" s="23"/>
      <c r="M6" s="23"/>
      <c r="N6" s="23"/>
      <c r="O6" s="23"/>
      <c r="P6" s="23"/>
      <c r="Q6" s="23"/>
      <c r="R6" s="23"/>
      <c r="S6" s="23"/>
      <c r="T6" s="23"/>
      <c r="U6" s="23"/>
      <c r="V6" s="23"/>
      <c r="W6" s="23"/>
      <c r="X6" s="23"/>
      <c r="Y6" s="23"/>
      <c r="Z6" s="23"/>
    </row>
    <row r="7" spans="1:26" x14ac:dyDescent="0.3">
      <c r="A7" s="23"/>
      <c r="B7" s="23"/>
      <c r="C7" s="23"/>
      <c r="D7" s="23"/>
      <c r="E7" s="23"/>
      <c r="F7" s="23"/>
      <c r="G7" s="23"/>
      <c r="H7" s="23"/>
      <c r="I7" s="23"/>
      <c r="J7" s="23"/>
      <c r="K7" s="23"/>
      <c r="L7" s="23"/>
      <c r="M7" s="23"/>
      <c r="N7" s="23"/>
      <c r="O7" s="23"/>
      <c r="P7" s="23"/>
      <c r="Q7" s="23"/>
      <c r="R7" s="23"/>
      <c r="S7" s="23"/>
      <c r="T7" s="23"/>
      <c r="U7" s="23"/>
      <c r="V7" s="23"/>
      <c r="W7" s="23"/>
      <c r="X7" s="23"/>
      <c r="Y7" s="23"/>
      <c r="Z7" s="23"/>
    </row>
    <row r="8" spans="1:26" x14ac:dyDescent="0.3">
      <c r="A8" s="23"/>
      <c r="B8" s="23"/>
      <c r="C8" s="23"/>
      <c r="D8" s="23"/>
      <c r="E8" s="23"/>
      <c r="F8" s="23"/>
      <c r="G8" s="23"/>
      <c r="H8" s="23"/>
      <c r="I8" s="23"/>
      <c r="J8" s="23"/>
      <c r="K8" s="23"/>
      <c r="L8" s="23"/>
      <c r="M8" s="23"/>
      <c r="N8" s="23"/>
      <c r="O8" s="23"/>
      <c r="P8" s="23"/>
      <c r="Q8" s="23"/>
      <c r="R8" s="23"/>
      <c r="S8" s="23"/>
      <c r="T8" s="23"/>
      <c r="U8" s="23"/>
      <c r="V8" s="23"/>
      <c r="W8" s="23"/>
      <c r="X8" s="23"/>
      <c r="Y8" s="23"/>
      <c r="Z8" s="23"/>
    </row>
    <row r="9" spans="1:26" x14ac:dyDescent="0.3">
      <c r="A9" s="23"/>
      <c r="B9" s="23"/>
      <c r="C9" s="23"/>
      <c r="D9" s="23"/>
      <c r="E9" s="23"/>
      <c r="F9" s="23"/>
      <c r="G9" s="23"/>
      <c r="H9" s="23"/>
      <c r="I9" s="23"/>
      <c r="J9" s="23"/>
      <c r="K9" s="23"/>
      <c r="L9" s="23"/>
      <c r="M9" s="23"/>
      <c r="N9" s="23"/>
      <c r="O9" s="23"/>
      <c r="P9" s="23"/>
      <c r="Q9" s="23"/>
      <c r="R9" s="23"/>
      <c r="S9" s="23"/>
      <c r="T9" s="23"/>
      <c r="U9" s="23"/>
      <c r="V9" s="23"/>
      <c r="W9" s="23"/>
      <c r="X9" s="23"/>
      <c r="Y9" s="23"/>
      <c r="Z9" s="23"/>
    </row>
    <row r="10" spans="1:26" x14ac:dyDescent="0.3">
      <c r="A10" s="23"/>
      <c r="B10" s="23"/>
      <c r="C10" s="23"/>
      <c r="D10" s="23"/>
      <c r="E10" s="23"/>
      <c r="F10" s="23"/>
      <c r="G10" s="23"/>
      <c r="H10" s="23"/>
      <c r="I10" s="23"/>
      <c r="J10" s="23"/>
      <c r="K10" s="23"/>
      <c r="L10" s="23"/>
      <c r="M10" s="23"/>
      <c r="N10" s="23"/>
      <c r="O10" s="23"/>
      <c r="P10" s="23"/>
      <c r="Q10" s="23"/>
      <c r="R10" s="23"/>
      <c r="S10" s="23"/>
      <c r="T10" s="23"/>
      <c r="U10" s="23"/>
      <c r="V10" s="23"/>
      <c r="W10" s="23"/>
      <c r="X10" s="23"/>
      <c r="Y10" s="23"/>
      <c r="Z10" s="23"/>
    </row>
    <row r="11" spans="1:26" x14ac:dyDescent="0.3">
      <c r="A11" s="23"/>
      <c r="B11" s="23"/>
      <c r="C11" s="23"/>
      <c r="D11" s="23"/>
      <c r="E11" s="23"/>
      <c r="F11" s="23"/>
      <c r="G11" s="23"/>
      <c r="H11" s="23"/>
      <c r="I11" s="23"/>
      <c r="J11" s="23"/>
      <c r="K11" s="23"/>
      <c r="L11" s="23"/>
      <c r="M11" s="23"/>
      <c r="N11" s="23"/>
      <c r="O11" s="23"/>
      <c r="P11" s="23"/>
      <c r="Q11" s="23"/>
      <c r="R11" s="23"/>
      <c r="S11" s="23"/>
      <c r="T11" s="23"/>
      <c r="U11" s="23"/>
      <c r="V11" s="23"/>
      <c r="W11" s="23"/>
      <c r="X11" s="23"/>
      <c r="Y11" s="23"/>
      <c r="Z11" s="23"/>
    </row>
    <row r="12" spans="1:26" x14ac:dyDescent="0.3">
      <c r="A12" s="23"/>
      <c r="B12" s="23"/>
      <c r="C12" s="23"/>
      <c r="D12" s="23"/>
      <c r="E12" s="23"/>
      <c r="F12" s="23"/>
      <c r="G12" s="23"/>
      <c r="H12" s="23"/>
      <c r="I12" s="23"/>
      <c r="J12" s="23"/>
      <c r="K12" s="23"/>
      <c r="L12" s="23"/>
      <c r="M12" s="23"/>
      <c r="N12" s="23"/>
      <c r="O12" s="23"/>
      <c r="P12" s="23"/>
      <c r="Q12" s="23"/>
      <c r="R12" s="23"/>
      <c r="S12" s="23"/>
      <c r="T12" s="23"/>
      <c r="U12" s="23"/>
      <c r="V12" s="23"/>
      <c r="W12" s="23"/>
      <c r="X12" s="23"/>
      <c r="Y12" s="23"/>
      <c r="Z12" s="23"/>
    </row>
    <row r="13" spans="1:26" x14ac:dyDescent="0.3">
      <c r="A13" s="23"/>
      <c r="B13" s="23"/>
      <c r="C13" s="23"/>
      <c r="D13" s="23"/>
      <c r="E13" s="23"/>
      <c r="F13" s="23"/>
      <c r="G13" s="23"/>
      <c r="H13" s="23"/>
      <c r="I13" s="23"/>
      <c r="J13" s="23"/>
      <c r="K13" s="23"/>
      <c r="L13" s="23"/>
      <c r="M13" s="23"/>
      <c r="N13" s="23"/>
      <c r="O13" s="23"/>
      <c r="P13" s="23"/>
      <c r="Q13" s="23"/>
      <c r="R13" s="23"/>
      <c r="S13" s="23"/>
      <c r="T13" s="23"/>
      <c r="U13" s="23"/>
      <c r="V13" s="23"/>
      <c r="W13" s="23"/>
      <c r="X13" s="23"/>
      <c r="Y13" s="23"/>
      <c r="Z13" s="23"/>
    </row>
    <row r="14" spans="1:26" x14ac:dyDescent="0.3">
      <c r="A14" s="23"/>
      <c r="B14" s="23"/>
      <c r="C14" s="23"/>
      <c r="D14" s="23"/>
      <c r="E14" s="23"/>
      <c r="F14" s="23"/>
      <c r="G14" s="23"/>
      <c r="H14" s="23"/>
      <c r="I14" s="23"/>
      <c r="J14" s="23"/>
      <c r="K14" s="23"/>
      <c r="L14" s="23"/>
      <c r="M14" s="23"/>
      <c r="N14" s="23"/>
      <c r="O14" s="23"/>
      <c r="P14" s="23"/>
      <c r="Q14" s="23"/>
      <c r="R14" s="23"/>
      <c r="S14" s="23"/>
      <c r="T14" s="23"/>
      <c r="U14" s="23"/>
      <c r="V14" s="23"/>
      <c r="W14" s="23"/>
      <c r="X14" s="23"/>
      <c r="Y14" s="23"/>
      <c r="Z14" s="23"/>
    </row>
    <row r="15" spans="1:26" x14ac:dyDescent="0.3">
      <c r="A15" s="23"/>
      <c r="B15" s="23"/>
      <c r="C15" s="23"/>
      <c r="D15" s="23"/>
      <c r="E15" s="23"/>
      <c r="F15" s="23"/>
      <c r="G15" s="23"/>
      <c r="H15" s="23"/>
      <c r="I15" s="23"/>
      <c r="J15" s="23"/>
      <c r="K15" s="23"/>
      <c r="L15" s="23"/>
      <c r="M15" s="23"/>
      <c r="N15" s="23"/>
      <c r="O15" s="23"/>
      <c r="P15" s="23"/>
      <c r="Q15" s="23"/>
      <c r="R15" s="23"/>
      <c r="S15" s="23"/>
      <c r="T15" s="23"/>
      <c r="U15" s="23"/>
      <c r="V15" s="23"/>
      <c r="W15" s="23"/>
      <c r="X15" s="23"/>
      <c r="Y15" s="23"/>
      <c r="Z15" s="23"/>
    </row>
    <row r="16" spans="1:26" x14ac:dyDescent="0.3">
      <c r="A16" s="23"/>
      <c r="B16" s="23"/>
      <c r="C16" s="23"/>
      <c r="D16" s="23"/>
      <c r="E16" s="23"/>
      <c r="F16" s="23"/>
      <c r="G16" s="23"/>
      <c r="H16" s="23"/>
      <c r="I16" s="23"/>
      <c r="J16" s="23"/>
      <c r="K16" s="23"/>
      <c r="L16" s="23"/>
      <c r="M16" s="23"/>
      <c r="N16" s="23"/>
      <c r="O16" s="23"/>
      <c r="P16" s="23"/>
      <c r="Q16" s="23"/>
      <c r="R16" s="23"/>
      <c r="S16" s="23"/>
      <c r="T16" s="23"/>
      <c r="U16" s="23"/>
      <c r="V16" s="23"/>
      <c r="W16" s="23"/>
      <c r="X16" s="23"/>
      <c r="Y16" s="23"/>
      <c r="Z16" s="23"/>
    </row>
    <row r="17" spans="1:26" x14ac:dyDescent="0.3">
      <c r="A17" s="23"/>
      <c r="B17" s="23"/>
      <c r="C17" s="23"/>
      <c r="D17" s="23"/>
      <c r="E17" s="23"/>
      <c r="F17" s="23"/>
      <c r="G17" s="23"/>
      <c r="H17" s="23"/>
      <c r="I17" s="23"/>
      <c r="J17" s="23"/>
      <c r="K17" s="23"/>
      <c r="L17" s="23"/>
      <c r="M17" s="23"/>
      <c r="N17" s="23"/>
      <c r="O17" s="23"/>
      <c r="P17" s="23"/>
      <c r="Q17" s="23"/>
      <c r="R17" s="23"/>
      <c r="S17" s="23"/>
      <c r="T17" s="23"/>
      <c r="U17" s="23"/>
      <c r="V17" s="23"/>
      <c r="W17" s="23"/>
      <c r="X17" s="23"/>
      <c r="Y17" s="23"/>
      <c r="Z17" s="23"/>
    </row>
    <row r="18" spans="1:26" x14ac:dyDescent="0.3">
      <c r="A18" s="23"/>
      <c r="B18" s="23"/>
      <c r="C18" s="23"/>
      <c r="D18" s="23"/>
      <c r="E18" s="23"/>
      <c r="F18" s="23"/>
      <c r="G18" s="23"/>
      <c r="H18" s="23"/>
      <c r="I18" s="23"/>
      <c r="J18" s="23"/>
      <c r="K18" s="23"/>
      <c r="L18" s="23"/>
      <c r="M18" s="23"/>
      <c r="N18" s="23"/>
      <c r="O18" s="23"/>
      <c r="P18" s="23"/>
      <c r="Q18" s="23"/>
      <c r="R18" s="23"/>
      <c r="S18" s="23"/>
      <c r="T18" s="23"/>
      <c r="U18" s="23"/>
      <c r="V18" s="23"/>
      <c r="W18" s="23"/>
      <c r="X18" s="23"/>
      <c r="Y18" s="23"/>
      <c r="Z18" s="23"/>
    </row>
    <row r="19" spans="1:26" x14ac:dyDescent="0.3">
      <c r="A19" s="23"/>
      <c r="B19" s="23"/>
      <c r="C19" s="23"/>
      <c r="D19" s="23"/>
      <c r="E19" s="23"/>
      <c r="F19" s="23"/>
      <c r="G19" s="23"/>
      <c r="H19" s="23"/>
      <c r="I19" s="23"/>
      <c r="J19" s="23"/>
      <c r="K19" s="23"/>
      <c r="L19" s="23"/>
      <c r="M19" s="23"/>
      <c r="N19" s="23"/>
      <c r="O19" s="23"/>
      <c r="P19" s="23"/>
      <c r="Q19" s="23"/>
      <c r="R19" s="23"/>
      <c r="S19" s="23"/>
      <c r="T19" s="23"/>
      <c r="U19" s="23"/>
      <c r="V19" s="23"/>
      <c r="W19" s="23"/>
      <c r="X19" s="23"/>
      <c r="Y19" s="23"/>
      <c r="Z19" s="23"/>
    </row>
    <row r="20" spans="1:26" x14ac:dyDescent="0.3">
      <c r="A20" s="23"/>
      <c r="B20" s="23"/>
      <c r="C20" s="23"/>
      <c r="D20" s="23"/>
      <c r="E20" s="23"/>
      <c r="F20" s="23"/>
      <c r="G20" s="23"/>
      <c r="H20" s="23"/>
      <c r="I20" s="23"/>
      <c r="J20" s="23"/>
      <c r="K20" s="23"/>
      <c r="L20" s="23"/>
      <c r="M20" s="23"/>
      <c r="N20" s="23"/>
      <c r="O20" s="23"/>
      <c r="P20" s="23"/>
      <c r="Q20" s="23"/>
      <c r="R20" s="23"/>
      <c r="S20" s="23"/>
      <c r="T20" s="23"/>
      <c r="U20" s="23"/>
      <c r="V20" s="23"/>
      <c r="W20" s="23"/>
      <c r="X20" s="23"/>
      <c r="Y20" s="23"/>
      <c r="Z20" s="23"/>
    </row>
    <row r="21" spans="1:26" x14ac:dyDescent="0.3">
      <c r="A21" s="23"/>
      <c r="B21" s="97" t="str">
        <f>IF(Planilha4!B16="","",Planilha4!B16)</f>
        <v/>
      </c>
      <c r="C21" s="97" t="str">
        <f>IF(Planilha4!C16="","",Planilha4!C16)</f>
        <v/>
      </c>
      <c r="D21" s="97" t="str">
        <f>IF(Planilha4!D16="","",Planilha4!D16)</f>
        <v/>
      </c>
      <c r="E21" s="98"/>
      <c r="F21" s="23"/>
      <c r="G21" s="23"/>
      <c r="H21" s="23"/>
      <c r="I21" s="23"/>
      <c r="J21" s="23"/>
      <c r="K21" s="23"/>
      <c r="L21" s="23"/>
      <c r="M21" s="23"/>
      <c r="N21" s="23"/>
      <c r="O21" s="23"/>
      <c r="P21" s="23"/>
      <c r="Q21" s="23"/>
      <c r="R21" s="23"/>
      <c r="S21" s="23"/>
      <c r="T21" s="23"/>
      <c r="U21" s="23"/>
      <c r="V21" s="23"/>
      <c r="W21" s="23"/>
      <c r="X21" s="23"/>
      <c r="Y21" s="23"/>
      <c r="Z21" s="23"/>
    </row>
    <row r="22" spans="1:26" x14ac:dyDescent="0.3">
      <c r="A22" s="23"/>
      <c r="B22" s="97" t="str">
        <f>IF(Planilha4!B17="","",Planilha4!B17)</f>
        <v/>
      </c>
      <c r="C22" s="97" t="str">
        <f>IF(Planilha4!C17="","",Planilha4!C17)</f>
        <v/>
      </c>
      <c r="D22" s="97" t="str">
        <f>IF(Planilha4!D17="","",Planilha4!D17)</f>
        <v/>
      </c>
      <c r="E22" s="98"/>
      <c r="F22" s="23"/>
      <c r="G22" s="23"/>
      <c r="H22" s="23"/>
      <c r="I22" s="23"/>
      <c r="J22" s="23"/>
      <c r="K22" s="23"/>
      <c r="L22" s="23"/>
      <c r="M22" s="23"/>
      <c r="N22" s="23"/>
      <c r="O22" s="23"/>
      <c r="P22" s="23"/>
      <c r="Q22" s="23"/>
      <c r="R22" s="23"/>
      <c r="S22" s="23"/>
      <c r="T22" s="23"/>
      <c r="U22" s="23"/>
      <c r="V22" s="23"/>
      <c r="W22" s="23"/>
      <c r="X22" s="23"/>
      <c r="Y22" s="23"/>
      <c r="Z22" s="23"/>
    </row>
    <row r="23" spans="1:26" x14ac:dyDescent="0.3">
      <c r="A23" s="23"/>
      <c r="B23" s="97" t="str">
        <f>IF(Planilha4!B18="","",Planilha4!B18)</f>
        <v/>
      </c>
      <c r="C23" s="97" t="str">
        <f>IF(Planilha4!C18="","",Planilha4!C18)</f>
        <v/>
      </c>
      <c r="D23" s="97" t="str">
        <f>IF(Planilha4!D18="","",Planilha4!D18)</f>
        <v/>
      </c>
      <c r="E23" s="98"/>
      <c r="F23" s="23"/>
      <c r="G23" s="23"/>
      <c r="H23" s="23"/>
      <c r="I23" s="23"/>
      <c r="J23" s="23"/>
      <c r="K23" s="23"/>
      <c r="L23" s="23"/>
      <c r="M23" s="23"/>
      <c r="N23" s="23"/>
      <c r="O23" s="23"/>
      <c r="P23" s="23"/>
      <c r="Q23" s="23"/>
      <c r="R23" s="23"/>
      <c r="S23" s="23"/>
      <c r="T23" s="23"/>
      <c r="U23" s="23"/>
      <c r="V23" s="23"/>
      <c r="W23" s="23"/>
      <c r="X23" s="23"/>
      <c r="Y23" s="23"/>
      <c r="Z23" s="23"/>
    </row>
    <row r="24" spans="1:26" x14ac:dyDescent="0.3">
      <c r="A24" s="23"/>
      <c r="B24" s="97" t="str">
        <f>IF(Planilha4!B19="","",Planilha4!B19)</f>
        <v/>
      </c>
      <c r="C24" s="97" t="str">
        <f>IF(Planilha4!C19="","",Planilha4!C19)</f>
        <v/>
      </c>
      <c r="D24" s="97" t="str">
        <f>IF(Planilha4!D19="","",Planilha4!D19)</f>
        <v/>
      </c>
      <c r="E24" s="98"/>
      <c r="F24" s="23"/>
      <c r="G24" s="23"/>
      <c r="H24" s="23"/>
      <c r="I24" s="23"/>
      <c r="J24" s="23"/>
      <c r="K24" s="23"/>
      <c r="L24" s="23"/>
      <c r="M24" s="23"/>
      <c r="N24" s="23"/>
      <c r="O24" s="23"/>
      <c r="P24" s="23"/>
      <c r="Q24" s="23"/>
      <c r="R24" s="23"/>
      <c r="S24" s="23"/>
      <c r="T24" s="23"/>
      <c r="U24" s="23"/>
      <c r="V24" s="23"/>
      <c r="W24" s="23"/>
      <c r="X24" s="23"/>
      <c r="Y24" s="23"/>
      <c r="Z24" s="23"/>
    </row>
    <row r="25" spans="1:26" x14ac:dyDescent="0.3">
      <c r="A25" s="23"/>
      <c r="B25" s="97" t="str">
        <f>IF(Planilha4!B20="","",Planilha4!B20)</f>
        <v/>
      </c>
      <c r="C25" s="97" t="str">
        <f>IF(Planilha4!C20="","",Planilha4!C20)</f>
        <v/>
      </c>
      <c r="D25" s="97" t="str">
        <f>IF(Planilha4!D20="","",Planilha4!D20)</f>
        <v/>
      </c>
      <c r="E25" s="98"/>
      <c r="F25" s="23"/>
      <c r="G25" s="23"/>
      <c r="H25" s="23"/>
      <c r="I25" s="23"/>
      <c r="J25" s="23"/>
      <c r="K25" s="23"/>
      <c r="L25" s="23"/>
      <c r="M25" s="23"/>
      <c r="N25" s="23"/>
      <c r="O25" s="23"/>
      <c r="P25" s="23"/>
      <c r="Q25" s="23"/>
      <c r="R25" s="23"/>
      <c r="S25" s="23"/>
      <c r="T25" s="23"/>
      <c r="U25" s="23"/>
      <c r="V25" s="23"/>
      <c r="W25" s="23"/>
      <c r="X25" s="23"/>
      <c r="Y25" s="23"/>
      <c r="Z25" s="23"/>
    </row>
    <row r="26" spans="1:26" x14ac:dyDescent="0.3">
      <c r="A26" s="23"/>
      <c r="B26" s="97" t="str">
        <f>IF(Planilha4!B21="","",Planilha4!B21)</f>
        <v/>
      </c>
      <c r="C26" s="97" t="str">
        <f>IF(Planilha4!C21="","",Planilha4!C21)</f>
        <v/>
      </c>
      <c r="D26" s="97" t="str">
        <f>IF(Planilha4!D21="","",Planilha4!D21)</f>
        <v/>
      </c>
      <c r="E26" s="98"/>
      <c r="F26" s="23"/>
      <c r="G26" s="23"/>
      <c r="H26" s="23"/>
      <c r="I26" s="23"/>
      <c r="J26" s="23"/>
      <c r="K26" s="23"/>
      <c r="L26" s="23"/>
      <c r="M26" s="23"/>
      <c r="N26" s="23"/>
      <c r="O26" s="23"/>
      <c r="P26" s="23"/>
      <c r="Q26" s="23"/>
      <c r="R26" s="23"/>
      <c r="S26" s="23"/>
      <c r="T26" s="23"/>
      <c r="U26" s="23"/>
      <c r="V26" s="23"/>
      <c r="W26" s="23"/>
      <c r="X26" s="23"/>
      <c r="Y26" s="23"/>
      <c r="Z26" s="23"/>
    </row>
    <row r="27" spans="1:26" x14ac:dyDescent="0.3">
      <c r="A27" s="23"/>
      <c r="B27" s="97" t="str">
        <f>IF(Planilha4!B22="","",Planilha4!B22)</f>
        <v/>
      </c>
      <c r="C27" s="97" t="str">
        <f>IF(Planilha4!C22="","",Planilha4!C22)</f>
        <v/>
      </c>
      <c r="D27" s="97" t="str">
        <f>IF(Planilha4!D22="","",Planilha4!D22)</f>
        <v/>
      </c>
      <c r="E27" s="98"/>
      <c r="F27" s="23"/>
      <c r="G27" s="23"/>
      <c r="H27" s="23"/>
      <c r="I27" s="23"/>
      <c r="J27" s="23"/>
      <c r="K27" s="23"/>
      <c r="L27" s="23"/>
      <c r="M27" s="23"/>
      <c r="N27" s="23"/>
      <c r="O27" s="23"/>
      <c r="P27" s="23"/>
      <c r="Q27" s="23"/>
      <c r="R27" s="23"/>
      <c r="S27" s="23"/>
      <c r="T27" s="23"/>
      <c r="U27" s="23"/>
      <c r="V27" s="23"/>
      <c r="W27" s="23"/>
      <c r="X27" s="23"/>
      <c r="Y27" s="23"/>
      <c r="Z27" s="23"/>
    </row>
    <row r="28" spans="1:26" x14ac:dyDescent="0.3">
      <c r="A28" s="23"/>
      <c r="B28" s="97" t="str">
        <f>IF(Planilha4!B23="","",Planilha4!B23)</f>
        <v/>
      </c>
      <c r="C28" s="97" t="str">
        <f>IF(Planilha4!C23="","",Planilha4!C23)</f>
        <v/>
      </c>
      <c r="D28" s="97" t="str">
        <f>IF(Planilha4!D23="","",Planilha4!D23)</f>
        <v/>
      </c>
      <c r="E28" s="98"/>
      <c r="F28" s="23"/>
      <c r="G28" s="23"/>
      <c r="H28" s="23"/>
      <c r="I28" s="23"/>
      <c r="J28" s="23"/>
      <c r="K28" s="23"/>
      <c r="L28" s="23"/>
      <c r="M28" s="23"/>
      <c r="N28" s="23"/>
      <c r="O28" s="23"/>
      <c r="P28" s="23"/>
      <c r="Q28" s="23"/>
      <c r="R28" s="23"/>
      <c r="S28" s="23"/>
      <c r="T28" s="23"/>
      <c r="U28" s="23"/>
      <c r="V28" s="23"/>
      <c r="W28" s="23"/>
      <c r="X28" s="23"/>
      <c r="Y28" s="23"/>
      <c r="Z28" s="23"/>
    </row>
    <row r="29" spans="1:26" x14ac:dyDescent="0.3">
      <c r="A29" s="23"/>
      <c r="B29" s="97" t="str">
        <f>IF(Planilha4!B24="","",Planilha4!B24)</f>
        <v/>
      </c>
      <c r="C29" s="97" t="str">
        <f>IF(Planilha4!C24="","",Planilha4!C24)</f>
        <v/>
      </c>
      <c r="D29" s="97" t="str">
        <f>IF(Planilha4!D24="","",Planilha4!D24)</f>
        <v/>
      </c>
      <c r="E29" s="98"/>
      <c r="F29" s="23"/>
      <c r="G29" s="23"/>
      <c r="H29" s="23"/>
      <c r="I29" s="23"/>
      <c r="J29" s="23"/>
      <c r="K29" s="23"/>
      <c r="L29" s="23"/>
      <c r="M29" s="23"/>
      <c r="N29" s="23"/>
      <c r="O29" s="23"/>
      <c r="P29" s="23"/>
      <c r="Q29" s="23"/>
      <c r="R29" s="23"/>
      <c r="S29" s="23"/>
      <c r="T29" s="23"/>
      <c r="U29" s="23"/>
      <c r="V29" s="23"/>
      <c r="W29" s="23"/>
      <c r="X29" s="23"/>
      <c r="Y29" s="23"/>
      <c r="Z29" s="23"/>
    </row>
    <row r="30" spans="1:26" x14ac:dyDescent="0.3">
      <c r="A30" s="23"/>
      <c r="B30" s="97" t="str">
        <f>IF(Planilha4!B25="","",Planilha4!B25)</f>
        <v/>
      </c>
      <c r="C30" s="97" t="str">
        <f>IF(Planilha4!C25="","",Planilha4!C25)</f>
        <v/>
      </c>
      <c r="D30" s="97" t="str">
        <f>IF(Planilha4!D25="","",Planilha4!D25)</f>
        <v/>
      </c>
      <c r="E30" s="98"/>
      <c r="F30" s="23"/>
      <c r="G30" s="23"/>
      <c r="H30" s="23"/>
      <c r="I30" s="23"/>
      <c r="J30" s="23"/>
      <c r="K30" s="23"/>
      <c r="L30" s="23"/>
      <c r="M30" s="23"/>
      <c r="N30" s="23"/>
      <c r="O30" s="23"/>
      <c r="P30" s="23"/>
      <c r="Q30" s="23"/>
      <c r="R30" s="23"/>
      <c r="S30" s="23"/>
      <c r="T30" s="23"/>
      <c r="U30" s="23"/>
      <c r="V30" s="23"/>
      <c r="W30" s="23"/>
      <c r="X30" s="23"/>
      <c r="Y30" s="23"/>
      <c r="Z30" s="23"/>
    </row>
    <row r="31" spans="1:26" x14ac:dyDescent="0.3">
      <c r="A31" s="23"/>
      <c r="B31" s="97" t="str">
        <f>IF(Planilha4!B26="","",Planilha4!B26)</f>
        <v/>
      </c>
      <c r="C31" s="97" t="str">
        <f>IF(Planilha4!C26="","",Planilha4!C26)</f>
        <v/>
      </c>
      <c r="D31" s="97" t="str">
        <f>IF(Planilha4!D26="","",Planilha4!D26)</f>
        <v/>
      </c>
      <c r="E31" s="23"/>
      <c r="F31" s="23"/>
      <c r="G31" s="23"/>
      <c r="H31" s="23"/>
      <c r="I31" s="23"/>
      <c r="J31" s="23"/>
      <c r="K31" s="23"/>
      <c r="L31" s="23"/>
      <c r="M31" s="23"/>
      <c r="N31" s="23"/>
      <c r="O31" s="23"/>
      <c r="P31" s="23"/>
      <c r="Q31" s="23"/>
      <c r="R31" s="23"/>
      <c r="S31" s="23"/>
      <c r="T31" s="23"/>
      <c r="U31" s="23"/>
      <c r="V31" s="23"/>
      <c r="W31" s="23"/>
      <c r="X31" s="23"/>
      <c r="Y31" s="23"/>
      <c r="Z31" s="23"/>
    </row>
    <row r="32" spans="1:26" x14ac:dyDescent="0.3">
      <c r="A32" s="23"/>
      <c r="B32" s="97" t="str">
        <f>IF(Planilha4!B27="","",Planilha4!B27)</f>
        <v/>
      </c>
      <c r="C32" s="97" t="str">
        <f>IF(Planilha4!C27="","",Planilha4!C27)</f>
        <v/>
      </c>
      <c r="D32" s="97" t="str">
        <f>IF(Planilha4!D27="","",Planilha4!D27)</f>
        <v/>
      </c>
      <c r="E32" s="23"/>
      <c r="F32" s="23"/>
      <c r="G32" s="23"/>
      <c r="H32" s="23"/>
      <c r="I32" s="23"/>
      <c r="J32" s="23"/>
      <c r="K32" s="23"/>
      <c r="L32" s="23"/>
      <c r="M32" s="23"/>
      <c r="N32" s="23"/>
      <c r="O32" s="23"/>
      <c r="P32" s="23"/>
      <c r="Q32" s="23"/>
      <c r="R32" s="23"/>
      <c r="S32" s="23"/>
      <c r="T32" s="23"/>
      <c r="U32" s="23"/>
      <c r="V32" s="23"/>
      <c r="W32" s="23"/>
      <c r="X32" s="23"/>
      <c r="Y32" s="23"/>
      <c r="Z32" s="23"/>
    </row>
    <row r="33" spans="1:26" x14ac:dyDescent="0.3">
      <c r="A33" s="23"/>
      <c r="B33" s="23"/>
      <c r="C33" s="23"/>
      <c r="D33" s="23"/>
      <c r="E33" s="23"/>
      <c r="F33" s="23"/>
      <c r="G33" s="23"/>
      <c r="H33" s="23"/>
      <c r="I33" s="23"/>
      <c r="J33" s="23"/>
      <c r="K33" s="23"/>
      <c r="L33" s="23"/>
      <c r="M33" s="23"/>
      <c r="N33" s="23"/>
      <c r="O33" s="23"/>
      <c r="P33" s="23"/>
      <c r="Q33" s="23"/>
      <c r="R33" s="23"/>
      <c r="S33" s="23"/>
      <c r="T33" s="23"/>
      <c r="U33" s="23"/>
      <c r="V33" s="23"/>
      <c r="W33" s="23"/>
      <c r="X33" s="23"/>
      <c r="Y33" s="23"/>
      <c r="Z33" s="23"/>
    </row>
    <row r="34" spans="1:26" x14ac:dyDescent="0.3">
      <c r="A34" s="23"/>
      <c r="B34" s="23"/>
      <c r="C34" s="23"/>
      <c r="D34" s="23"/>
      <c r="E34" s="23"/>
      <c r="F34" s="23"/>
      <c r="G34" s="23"/>
      <c r="H34" s="23"/>
      <c r="I34" s="23"/>
      <c r="J34" s="23"/>
      <c r="K34" s="23"/>
      <c r="L34" s="23"/>
      <c r="M34" s="23"/>
      <c r="N34" s="23"/>
      <c r="O34" s="23"/>
      <c r="P34" s="23"/>
      <c r="Q34" s="23"/>
      <c r="R34" s="23"/>
      <c r="S34" s="23"/>
      <c r="T34" s="23"/>
      <c r="U34" s="23"/>
      <c r="V34" s="23"/>
      <c r="W34" s="23"/>
      <c r="X34" s="23"/>
      <c r="Y34" s="23"/>
      <c r="Z34" s="23"/>
    </row>
    <row r="35" spans="1:26" x14ac:dyDescent="0.3">
      <c r="A35" s="23"/>
      <c r="B35" s="23"/>
      <c r="C35" s="23"/>
      <c r="D35" s="23"/>
      <c r="E35" s="23"/>
      <c r="F35" s="23"/>
      <c r="G35" s="23"/>
      <c r="H35" s="23"/>
      <c r="I35" s="23"/>
      <c r="J35" s="23"/>
      <c r="K35" s="23"/>
      <c r="L35" s="23"/>
      <c r="M35" s="23"/>
      <c r="N35" s="23"/>
      <c r="O35" s="23"/>
      <c r="P35" s="23"/>
      <c r="Q35" s="23"/>
      <c r="R35" s="23"/>
      <c r="S35" s="23"/>
      <c r="T35" s="23"/>
      <c r="U35" s="23"/>
      <c r="V35" s="23"/>
      <c r="W35" s="23"/>
      <c r="X35" s="23"/>
      <c r="Y35" s="23"/>
      <c r="Z35" s="23"/>
    </row>
    <row r="36" spans="1:26" x14ac:dyDescent="0.3">
      <c r="A36" s="23"/>
      <c r="B36" s="23"/>
      <c r="C36" s="23"/>
      <c r="D36" s="23"/>
      <c r="E36" s="23"/>
      <c r="F36" s="23"/>
      <c r="G36" s="23"/>
      <c r="H36" s="23"/>
      <c r="I36" s="23"/>
      <c r="J36" s="23"/>
      <c r="K36" s="23"/>
      <c r="L36" s="23"/>
      <c r="M36" s="23"/>
      <c r="N36" s="23"/>
      <c r="O36" s="23"/>
      <c r="P36" s="23"/>
      <c r="Q36" s="23"/>
      <c r="R36" s="23"/>
      <c r="S36" s="23"/>
      <c r="T36" s="23"/>
      <c r="U36" s="23"/>
      <c r="V36" s="23"/>
      <c r="W36" s="23"/>
      <c r="X36" s="23"/>
      <c r="Y36" s="23"/>
      <c r="Z36" s="23"/>
    </row>
    <row r="37" spans="1:26" x14ac:dyDescent="0.3">
      <c r="A37" s="23"/>
      <c r="B37" s="23"/>
      <c r="C37" s="23"/>
      <c r="D37" s="23"/>
      <c r="E37" s="23"/>
      <c r="F37" s="23"/>
      <c r="G37" s="23"/>
      <c r="H37" s="23"/>
      <c r="I37" s="23"/>
      <c r="J37" s="23"/>
      <c r="K37" s="23"/>
      <c r="L37" s="23"/>
      <c r="M37" s="23"/>
      <c r="N37" s="23"/>
      <c r="O37" s="23"/>
      <c r="P37" s="23"/>
      <c r="Q37" s="23"/>
      <c r="R37" s="23"/>
      <c r="S37" s="23"/>
      <c r="T37" s="23"/>
      <c r="U37" s="23"/>
      <c r="V37" s="23"/>
      <c r="W37" s="23"/>
      <c r="X37" s="23"/>
      <c r="Y37" s="23"/>
      <c r="Z37" s="23"/>
    </row>
    <row r="38" spans="1:26" x14ac:dyDescent="0.3">
      <c r="A38" s="23"/>
      <c r="B38" s="23"/>
      <c r="C38" s="23"/>
      <c r="D38" s="23"/>
      <c r="E38" s="23"/>
      <c r="F38" s="23"/>
      <c r="G38" s="23"/>
      <c r="H38" s="23"/>
      <c r="I38" s="23"/>
      <c r="J38" s="23"/>
      <c r="K38" s="23"/>
      <c r="L38" s="23"/>
      <c r="M38" s="23"/>
      <c r="N38" s="23"/>
      <c r="O38" s="23"/>
      <c r="P38" s="23"/>
      <c r="Q38" s="23"/>
      <c r="R38" s="23"/>
      <c r="S38" s="23"/>
      <c r="T38" s="23"/>
      <c r="U38" s="23"/>
      <c r="V38" s="23"/>
      <c r="W38" s="23"/>
      <c r="X38" s="23"/>
      <c r="Y38" s="23"/>
      <c r="Z38" s="23"/>
    </row>
    <row r="39" spans="1:26" x14ac:dyDescent="0.3">
      <c r="A39" s="23"/>
      <c r="B39" s="23"/>
      <c r="C39" s="23"/>
      <c r="D39" s="23"/>
      <c r="E39" s="23"/>
      <c r="F39" s="23"/>
      <c r="G39" s="23"/>
      <c r="H39" s="23"/>
      <c r="I39" s="23"/>
      <c r="J39" s="23"/>
      <c r="K39" s="23"/>
      <c r="L39" s="23"/>
      <c r="M39" s="23"/>
      <c r="N39" s="23"/>
      <c r="O39" s="23"/>
      <c r="P39" s="23"/>
      <c r="Q39" s="23"/>
      <c r="R39" s="23"/>
      <c r="S39" s="23"/>
      <c r="T39" s="23"/>
      <c r="U39" s="23"/>
      <c r="V39" s="23"/>
      <c r="W39" s="23"/>
      <c r="X39" s="23"/>
      <c r="Y39" s="23"/>
      <c r="Z39" s="23"/>
    </row>
    <row r="40" spans="1:26" x14ac:dyDescent="0.3">
      <c r="A40" s="23"/>
      <c r="B40" s="23"/>
      <c r="C40" s="23"/>
      <c r="D40" s="23"/>
      <c r="E40" s="23"/>
      <c r="F40" s="23"/>
      <c r="G40" s="23"/>
      <c r="H40" s="23"/>
      <c r="I40" s="23"/>
      <c r="J40" s="23"/>
      <c r="K40" s="23"/>
      <c r="L40" s="23"/>
      <c r="M40" s="23"/>
      <c r="N40" s="23"/>
      <c r="O40" s="23"/>
      <c r="P40" s="23"/>
      <c r="Q40" s="23"/>
      <c r="R40" s="23"/>
      <c r="S40" s="23"/>
      <c r="T40" s="23"/>
      <c r="U40" s="23"/>
      <c r="V40" s="23"/>
      <c r="W40" s="23"/>
      <c r="X40" s="23"/>
      <c r="Y40" s="23"/>
      <c r="Z40" s="23"/>
    </row>
    <row r="41" spans="1:26" ht="27" customHeight="1" x14ac:dyDescent="0.3">
      <c r="A41" s="23"/>
      <c r="B41" s="23"/>
      <c r="C41" s="23"/>
      <c r="D41" s="23"/>
      <c r="E41" s="23"/>
      <c r="F41" s="23"/>
      <c r="G41" s="23"/>
      <c r="H41" s="23"/>
      <c r="I41" s="23"/>
      <c r="J41" s="23"/>
      <c r="K41" s="23"/>
      <c r="L41" s="23"/>
      <c r="M41" s="23"/>
      <c r="N41" s="23"/>
      <c r="O41" s="23"/>
      <c r="P41" s="23"/>
      <c r="Q41" s="23"/>
      <c r="R41" s="23"/>
      <c r="S41" s="23"/>
      <c r="T41" s="23"/>
      <c r="U41" s="23"/>
      <c r="V41" s="23"/>
      <c r="W41" s="23"/>
      <c r="X41" s="23"/>
      <c r="Y41" s="23"/>
      <c r="Z41" s="23"/>
    </row>
  </sheetData>
  <pageMargins left="0.511811024" right="0.511811024" top="0.78740157499999996" bottom="0.78740157499999996" header="0.31496062000000002" footer="0.31496062000000002"/>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B36E61-E690-4ADF-BA35-505C762D8428}">
  <sheetPr codeName="Planilha2"/>
  <dimension ref="A1:K18"/>
  <sheetViews>
    <sheetView workbookViewId="0">
      <selection activeCell="D31" sqref="D31"/>
    </sheetView>
  </sheetViews>
  <sheetFormatPr defaultRowHeight="14.4" x14ac:dyDescent="0.3"/>
  <cols>
    <col min="5" max="5" width="12.33203125" bestFit="1" customWidth="1"/>
    <col min="7" max="7" width="21.88671875" bestFit="1" customWidth="1"/>
    <col min="8" max="8" width="10.44140625" bestFit="1" customWidth="1"/>
    <col min="9" max="9" width="11.5546875" bestFit="1" customWidth="1"/>
    <col min="10" max="10" width="6.5546875" bestFit="1" customWidth="1"/>
    <col min="11" max="11" width="12.44140625" bestFit="1" customWidth="1"/>
    <col min="14" max="14" width="8.21875" bestFit="1" customWidth="1"/>
  </cols>
  <sheetData>
    <row r="1" spans="1:11" x14ac:dyDescent="0.3">
      <c r="A1" s="1" t="s">
        <v>0</v>
      </c>
      <c r="B1" s="1" t="s">
        <v>1</v>
      </c>
      <c r="E1" t="s">
        <v>9</v>
      </c>
      <c r="F1" t="s">
        <v>31</v>
      </c>
      <c r="G1" s="6" t="s">
        <v>32</v>
      </c>
      <c r="I1" t="str">
        <f>Planilha11!A1</f>
        <v>Aulas Dadas</v>
      </c>
      <c r="J1" t="s">
        <v>68</v>
      </c>
    </row>
    <row r="2" spans="1:11" ht="16.2" x14ac:dyDescent="0.35">
      <c r="A2" s="1">
        <v>1</v>
      </c>
      <c r="B2" s="2" t="s">
        <v>2</v>
      </c>
      <c r="E2" t="s">
        <v>58</v>
      </c>
      <c r="G2" s="6" t="s">
        <v>50</v>
      </c>
      <c r="H2" t="s">
        <v>73</v>
      </c>
      <c r="I2" s="93">
        <f>Planilha11!A2</f>
        <v>0</v>
      </c>
      <c r="J2" s="93">
        <f>Planilha11!B2</f>
        <v>0</v>
      </c>
      <c r="K2" s="94"/>
    </row>
    <row r="3" spans="1:11" x14ac:dyDescent="0.3">
      <c r="A3" s="1">
        <v>2</v>
      </c>
      <c r="B3" s="1" t="s">
        <v>3</v>
      </c>
      <c r="E3" t="s">
        <v>60</v>
      </c>
      <c r="G3" s="6" t="s">
        <v>35</v>
      </c>
      <c r="H3" t="s">
        <v>72</v>
      </c>
      <c r="I3" s="93">
        <f>Planilha2!$G$3</f>
        <v>6</v>
      </c>
      <c r="J3" s="90">
        <f>I2-J2</f>
        <v>0</v>
      </c>
      <c r="K3" s="94"/>
    </row>
    <row r="4" spans="1:11" x14ac:dyDescent="0.3">
      <c r="A4" s="1">
        <v>3</v>
      </c>
      <c r="B4" s="1" t="s">
        <v>4</v>
      </c>
      <c r="E4" t="s">
        <v>57</v>
      </c>
      <c r="G4" s="1" t="s">
        <v>33</v>
      </c>
    </row>
    <row r="5" spans="1:11" x14ac:dyDescent="0.3">
      <c r="A5" s="1">
        <v>4</v>
      </c>
      <c r="B5" s="1" t="s">
        <v>5</v>
      </c>
      <c r="E5" t="s">
        <v>49</v>
      </c>
    </row>
    <row r="6" spans="1:11" x14ac:dyDescent="0.3">
      <c r="A6" s="1">
        <v>5</v>
      </c>
      <c r="B6" s="3" t="s">
        <v>6</v>
      </c>
      <c r="E6" t="s">
        <v>13</v>
      </c>
    </row>
    <row r="7" spans="1:11" x14ac:dyDescent="0.3">
      <c r="A7" s="1">
        <v>6</v>
      </c>
      <c r="B7" s="1" t="s">
        <v>7</v>
      </c>
      <c r="E7" t="s">
        <v>61</v>
      </c>
    </row>
    <row r="8" spans="1:11" x14ac:dyDescent="0.3">
      <c r="A8" s="1">
        <v>7</v>
      </c>
      <c r="B8" s="1" t="s">
        <v>8</v>
      </c>
      <c r="E8" t="s">
        <v>30</v>
      </c>
      <c r="G8" s="6" t="s">
        <v>50</v>
      </c>
    </row>
    <row r="9" spans="1:11" x14ac:dyDescent="0.3">
      <c r="E9" t="s">
        <v>56</v>
      </c>
      <c r="G9" s="6" t="s">
        <v>35</v>
      </c>
    </row>
    <row r="10" spans="1:11" x14ac:dyDescent="0.3">
      <c r="E10" t="s">
        <v>59</v>
      </c>
      <c r="G10" s="1" t="s">
        <v>33</v>
      </c>
    </row>
    <row r="17" spans="5:7" x14ac:dyDescent="0.3">
      <c r="E17" t="s">
        <v>70</v>
      </c>
      <c r="G17">
        <v>1</v>
      </c>
    </row>
    <row r="18" spans="5:7" x14ac:dyDescent="0.3">
      <c r="E18" t="s">
        <v>71</v>
      </c>
    </row>
  </sheetData>
  <sortState xmlns:xlrd2="http://schemas.microsoft.com/office/spreadsheetml/2017/richdata2" ref="E2:G10">
    <sortCondition descending="1" ref="E1"/>
  </sortState>
  <pageMargins left="0.511811024" right="0.511811024" top="0.78740157499999996" bottom="0.78740157499999996" header="0.31496062000000002" footer="0.31496062000000002"/>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7C4D19-6343-42CE-995D-F03CCB2B530D}">
  <sheetPr codeName="Planilha3"/>
  <dimension ref="A1:L367"/>
  <sheetViews>
    <sheetView workbookViewId="0">
      <selection activeCell="I12" sqref="I12"/>
    </sheetView>
  </sheetViews>
  <sheetFormatPr defaultRowHeight="14.4" x14ac:dyDescent="0.3"/>
  <cols>
    <col min="1" max="1" width="10.5546875" customWidth="1"/>
    <col min="2" max="2" width="21.88671875" bestFit="1" customWidth="1"/>
    <col min="3" max="3" width="15.6640625" customWidth="1"/>
    <col min="4" max="4" width="10.5546875" bestFit="1" customWidth="1"/>
    <col min="5" max="5" width="8.21875" bestFit="1" customWidth="1"/>
    <col min="6" max="6" width="12.88671875" bestFit="1" customWidth="1"/>
    <col min="7" max="7" width="15.77734375" bestFit="1" customWidth="1"/>
    <col min="8" max="8" width="14.21875" bestFit="1" customWidth="1"/>
    <col min="9" max="9" width="12.88671875" bestFit="1" customWidth="1"/>
    <col min="11" max="11" width="9.5546875" bestFit="1" customWidth="1"/>
    <col min="12" max="12" width="10.5546875" bestFit="1" customWidth="1"/>
  </cols>
  <sheetData>
    <row r="1" spans="1:12" ht="18" x14ac:dyDescent="0.3">
      <c r="A1" s="7">
        <f ca="1">NOW()</f>
        <v>44205.817556712966</v>
      </c>
      <c r="B1" s="18" t="s">
        <v>25</v>
      </c>
      <c r="C1" s="19" t="s">
        <v>17</v>
      </c>
    </row>
    <row r="2" spans="1:12" ht="18" x14ac:dyDescent="0.3">
      <c r="A2" s="9"/>
      <c r="B2" s="12" t="s">
        <v>26</v>
      </c>
      <c r="C2" s="13">
        <f ca="1">TODAY()</f>
        <v>44205</v>
      </c>
      <c r="F2" s="14" t="s">
        <v>27</v>
      </c>
      <c r="G2" s="14" t="s">
        <v>28</v>
      </c>
      <c r="H2" s="14" t="s">
        <v>29</v>
      </c>
      <c r="I2" s="14" t="s">
        <v>66</v>
      </c>
    </row>
    <row r="3" spans="1:12" x14ac:dyDescent="0.3">
      <c r="A3" s="7">
        <v>44197</v>
      </c>
      <c r="B3" t="s">
        <v>15</v>
      </c>
      <c r="C3" s="5" t="e">
        <f>IF(A3=Planilha1!#REF!,Planilha1!#REF!,"")</f>
        <v>#REF!</v>
      </c>
      <c r="D3" s="10">
        <f>IF(B3=$K$3,0,IF(B3=$K$4,1,IF(B3=$K$5,"-","none")))</f>
        <v>0</v>
      </c>
      <c r="E3" s="5" t="str">
        <f>IF(WEEKDAY(A3,1)=1,"FERIADO","")</f>
        <v/>
      </c>
      <c r="F3" s="15">
        <f>SUM($D$3:$D$367)</f>
        <v>3</v>
      </c>
      <c r="G3" s="15">
        <f>COUNT(D3:D367)</f>
        <v>6</v>
      </c>
      <c r="H3" s="16">
        <f>IFERROR(SUM($F$3/$G$3),"TA SAFE")</f>
        <v>0.5</v>
      </c>
      <c r="I3" s="15">
        <f>G3-F3</f>
        <v>3</v>
      </c>
      <c r="K3" t="s">
        <v>15</v>
      </c>
      <c r="L3" s="17">
        <f ca="1">TODAY()</f>
        <v>44205</v>
      </c>
    </row>
    <row r="4" spans="1:12" x14ac:dyDescent="0.3">
      <c r="A4" s="8">
        <v>44198</v>
      </c>
      <c r="B4" t="s">
        <v>14</v>
      </c>
      <c r="C4" s="5" t="e">
        <f>IF(A4=Planilha1!#REF!,Planilha1!#REF!,"")</f>
        <v>#REF!</v>
      </c>
      <c r="D4" s="11">
        <f>IF(B4=$K$3,0,IF(B4=$K$4,1,IF(B4=$K$5,"-","none")))</f>
        <v>1</v>
      </c>
      <c r="E4" s="5" t="str">
        <f t="shared" ref="E4:E67" si="0">IF(WEEKDAY(A4,1)=1,"FERIADO","")</f>
        <v/>
      </c>
      <c r="K4" t="s">
        <v>14</v>
      </c>
    </row>
    <row r="5" spans="1:12" x14ac:dyDescent="0.3">
      <c r="A5" s="7">
        <v>44199</v>
      </c>
      <c r="B5" t="s">
        <v>14</v>
      </c>
      <c r="C5" s="5" t="e">
        <f>IF(A5=Planilha1!#REF!,Planilha1!#REF!,"")</f>
        <v>#REF!</v>
      </c>
      <c r="D5" s="10">
        <f t="shared" ref="D5:D68" si="1">IF(B5=$K$3,0,IF(B5=$K$4,1,IF(B5=$K$5,"-","none")))</f>
        <v>1</v>
      </c>
      <c r="E5" s="5" t="str">
        <f t="shared" si="0"/>
        <v>FERIADO</v>
      </c>
      <c r="K5" t="s">
        <v>16</v>
      </c>
    </row>
    <row r="6" spans="1:12" x14ac:dyDescent="0.3">
      <c r="A6" s="8">
        <v>44200</v>
      </c>
      <c r="B6" t="s">
        <v>14</v>
      </c>
      <c r="C6" s="5" t="e">
        <f>IF(A6=Planilha1!#REF!,Planilha1!#REF!,"")</f>
        <v>#REF!</v>
      </c>
      <c r="D6" s="11">
        <f t="shared" si="1"/>
        <v>1</v>
      </c>
      <c r="E6" s="5" t="str">
        <f t="shared" si="0"/>
        <v/>
      </c>
    </row>
    <row r="7" spans="1:12" x14ac:dyDescent="0.3">
      <c r="A7" s="7">
        <v>44201</v>
      </c>
      <c r="B7" t="s">
        <v>16</v>
      </c>
      <c r="C7" s="5" t="e">
        <f>IF(A7=Planilha1!#REF!,Planilha1!#REF!,"")</f>
        <v>#REF!</v>
      </c>
      <c r="D7" s="10" t="str">
        <f t="shared" si="1"/>
        <v>-</v>
      </c>
      <c r="E7" s="5" t="str">
        <f t="shared" si="0"/>
        <v/>
      </c>
    </row>
    <row r="8" spans="1:12" x14ac:dyDescent="0.3">
      <c r="A8" s="8">
        <v>44202</v>
      </c>
      <c r="B8" t="s">
        <v>16</v>
      </c>
      <c r="C8" s="5" t="e">
        <f>IF(A8=Planilha1!#REF!,Planilha1!#REF!,"")</f>
        <v>#REF!</v>
      </c>
      <c r="D8" s="11" t="str">
        <f t="shared" si="1"/>
        <v>-</v>
      </c>
      <c r="E8" s="5" t="str">
        <f t="shared" si="0"/>
        <v/>
      </c>
    </row>
    <row r="9" spans="1:12" x14ac:dyDescent="0.3">
      <c r="A9" s="7">
        <v>44203</v>
      </c>
      <c r="B9" t="s">
        <v>15</v>
      </c>
      <c r="C9" s="5" t="e">
        <f>IF(A9=Planilha1!#REF!,Planilha1!#REF!,"")</f>
        <v>#REF!</v>
      </c>
      <c r="D9" s="10">
        <f t="shared" si="1"/>
        <v>0</v>
      </c>
      <c r="E9" s="5" t="str">
        <f t="shared" si="0"/>
        <v/>
      </c>
    </row>
    <row r="10" spans="1:12" x14ac:dyDescent="0.3">
      <c r="A10" s="8">
        <v>44204</v>
      </c>
      <c r="B10" t="s">
        <v>15</v>
      </c>
      <c r="C10" s="5" t="e">
        <f>IF(A10=Planilha1!#REF!,Planilha1!#REF!,"")</f>
        <v>#REF!</v>
      </c>
      <c r="D10" s="11">
        <f t="shared" si="1"/>
        <v>0</v>
      </c>
      <c r="E10" s="5" t="str">
        <f t="shared" si="0"/>
        <v/>
      </c>
    </row>
    <row r="11" spans="1:12" x14ac:dyDescent="0.3">
      <c r="A11" s="7">
        <v>44205</v>
      </c>
      <c r="B11" t="s">
        <v>16</v>
      </c>
      <c r="C11" s="5" t="e">
        <f>IF(A11=Planilha1!#REF!,Planilha1!#REF!,"")</f>
        <v>#REF!</v>
      </c>
      <c r="D11" s="10" t="str">
        <f t="shared" si="1"/>
        <v>-</v>
      </c>
      <c r="E11" s="5" t="str">
        <f t="shared" si="0"/>
        <v/>
      </c>
    </row>
    <row r="12" spans="1:12" x14ac:dyDescent="0.3">
      <c r="A12" s="8">
        <v>44206</v>
      </c>
      <c r="B12" t="s">
        <v>16</v>
      </c>
      <c r="C12" s="5" t="e">
        <f>IF(A12=Planilha1!#REF!,Planilha1!#REF!,"")</f>
        <v>#REF!</v>
      </c>
      <c r="D12" s="11" t="str">
        <f t="shared" si="1"/>
        <v>-</v>
      </c>
      <c r="E12" s="5" t="str">
        <f t="shared" si="0"/>
        <v>FERIADO</v>
      </c>
    </row>
    <row r="13" spans="1:12" x14ac:dyDescent="0.3">
      <c r="A13" s="7">
        <v>44207</v>
      </c>
      <c r="C13" s="5" t="e">
        <f>IF(A13=Planilha1!#REF!,Planilha1!#REF!,"")</f>
        <v>#REF!</v>
      </c>
      <c r="D13" s="10" t="str">
        <f t="shared" si="1"/>
        <v>none</v>
      </c>
      <c r="E13" s="5" t="str">
        <f t="shared" si="0"/>
        <v/>
      </c>
    </row>
    <row r="14" spans="1:12" x14ac:dyDescent="0.3">
      <c r="A14" s="8">
        <v>44208</v>
      </c>
      <c r="C14" s="5" t="e">
        <f>IF(A14=Planilha1!#REF!,Planilha1!#REF!,"")</f>
        <v>#REF!</v>
      </c>
      <c r="D14" s="11" t="str">
        <f t="shared" si="1"/>
        <v>none</v>
      </c>
      <c r="E14" s="5" t="str">
        <f t="shared" si="0"/>
        <v/>
      </c>
    </row>
    <row r="15" spans="1:12" x14ac:dyDescent="0.3">
      <c r="A15" s="7">
        <v>44209</v>
      </c>
      <c r="C15" s="5" t="e">
        <f>IF(A15=Planilha1!#REF!,Planilha1!#REF!,"")</f>
        <v>#REF!</v>
      </c>
      <c r="D15" s="10" t="str">
        <f t="shared" si="1"/>
        <v>none</v>
      </c>
      <c r="E15" s="5" t="str">
        <f t="shared" si="0"/>
        <v/>
      </c>
    </row>
    <row r="16" spans="1:12" x14ac:dyDescent="0.3">
      <c r="A16" s="8">
        <v>44210</v>
      </c>
      <c r="C16" s="5" t="e">
        <f>IF(A16=Planilha1!#REF!,Planilha1!#REF!,"")</f>
        <v>#REF!</v>
      </c>
      <c r="D16" s="11" t="str">
        <f t="shared" si="1"/>
        <v>none</v>
      </c>
      <c r="E16" s="5" t="str">
        <f t="shared" si="0"/>
        <v/>
      </c>
    </row>
    <row r="17" spans="1:5" x14ac:dyDescent="0.3">
      <c r="A17" s="7">
        <v>44211</v>
      </c>
      <c r="C17" s="5" t="e">
        <f>IF(A17=Planilha1!#REF!,Planilha1!#REF!,"")</f>
        <v>#REF!</v>
      </c>
      <c r="D17" s="10" t="str">
        <f t="shared" si="1"/>
        <v>none</v>
      </c>
      <c r="E17" s="5" t="str">
        <f t="shared" si="0"/>
        <v/>
      </c>
    </row>
    <row r="18" spans="1:5" x14ac:dyDescent="0.3">
      <c r="A18" s="8">
        <v>44212</v>
      </c>
      <c r="C18" s="5" t="e">
        <f>IF(A18=Planilha1!#REF!,Planilha1!#REF!,"")</f>
        <v>#REF!</v>
      </c>
      <c r="D18" s="11" t="str">
        <f t="shared" si="1"/>
        <v>none</v>
      </c>
      <c r="E18" s="5" t="str">
        <f t="shared" si="0"/>
        <v/>
      </c>
    </row>
    <row r="19" spans="1:5" x14ac:dyDescent="0.3">
      <c r="A19" s="7">
        <v>44213</v>
      </c>
      <c r="C19" s="5" t="e">
        <f>IF(A19=Planilha1!#REF!,Planilha1!#REF!,"")</f>
        <v>#REF!</v>
      </c>
      <c r="D19" s="10" t="str">
        <f t="shared" si="1"/>
        <v>none</v>
      </c>
      <c r="E19" s="5" t="str">
        <f t="shared" si="0"/>
        <v>FERIADO</v>
      </c>
    </row>
    <row r="20" spans="1:5" x14ac:dyDescent="0.3">
      <c r="A20" s="8">
        <v>44214</v>
      </c>
      <c r="C20" s="5" t="e">
        <f>IF(A20=Planilha1!#REF!,Planilha1!#REF!,"")</f>
        <v>#REF!</v>
      </c>
      <c r="D20" s="11" t="str">
        <f t="shared" si="1"/>
        <v>none</v>
      </c>
      <c r="E20" s="5" t="str">
        <f t="shared" si="0"/>
        <v/>
      </c>
    </row>
    <row r="21" spans="1:5" x14ac:dyDescent="0.3">
      <c r="A21" s="7">
        <v>44215</v>
      </c>
      <c r="C21" s="5" t="e">
        <f>IF(A21=Planilha1!#REF!,Planilha1!#REF!,"")</f>
        <v>#REF!</v>
      </c>
      <c r="D21" s="10" t="str">
        <f t="shared" si="1"/>
        <v>none</v>
      </c>
      <c r="E21" s="5" t="str">
        <f t="shared" si="0"/>
        <v/>
      </c>
    </row>
    <row r="22" spans="1:5" x14ac:dyDescent="0.3">
      <c r="A22" s="8">
        <v>44216</v>
      </c>
      <c r="C22" s="5" t="e">
        <f>IF(A22=Planilha1!#REF!,Planilha1!#REF!,"")</f>
        <v>#REF!</v>
      </c>
      <c r="D22" s="11" t="str">
        <f t="shared" si="1"/>
        <v>none</v>
      </c>
      <c r="E22" s="5" t="str">
        <f t="shared" si="0"/>
        <v/>
      </c>
    </row>
    <row r="23" spans="1:5" x14ac:dyDescent="0.3">
      <c r="A23" s="7">
        <v>44217</v>
      </c>
      <c r="C23" s="5" t="e">
        <f>IF(A23=Planilha1!#REF!,Planilha1!#REF!,"")</f>
        <v>#REF!</v>
      </c>
      <c r="D23" s="10" t="str">
        <f t="shared" si="1"/>
        <v>none</v>
      </c>
      <c r="E23" s="5" t="str">
        <f t="shared" si="0"/>
        <v/>
      </c>
    </row>
    <row r="24" spans="1:5" x14ac:dyDescent="0.3">
      <c r="A24" s="8">
        <v>44218</v>
      </c>
      <c r="C24" s="5" t="e">
        <f>IF(A24=Planilha1!#REF!,Planilha1!#REF!,"")</f>
        <v>#REF!</v>
      </c>
      <c r="D24" s="11" t="str">
        <f t="shared" si="1"/>
        <v>none</v>
      </c>
      <c r="E24" s="5" t="str">
        <f t="shared" si="0"/>
        <v/>
      </c>
    </row>
    <row r="25" spans="1:5" x14ac:dyDescent="0.3">
      <c r="A25" s="7">
        <v>44219</v>
      </c>
      <c r="C25" s="5" t="e">
        <f>IF(A25=Planilha1!#REF!,Planilha1!#REF!,"")</f>
        <v>#REF!</v>
      </c>
      <c r="D25" s="10" t="str">
        <f t="shared" si="1"/>
        <v>none</v>
      </c>
      <c r="E25" s="5" t="str">
        <f t="shared" si="0"/>
        <v/>
      </c>
    </row>
    <row r="26" spans="1:5" x14ac:dyDescent="0.3">
      <c r="A26" s="8">
        <v>44220</v>
      </c>
      <c r="C26" s="5" t="e">
        <f>IF(A26=Planilha1!#REF!,Planilha1!#REF!,"")</f>
        <v>#REF!</v>
      </c>
      <c r="D26" s="11" t="str">
        <f t="shared" si="1"/>
        <v>none</v>
      </c>
      <c r="E26" s="5" t="str">
        <f t="shared" si="0"/>
        <v>FERIADO</v>
      </c>
    </row>
    <row r="27" spans="1:5" x14ac:dyDescent="0.3">
      <c r="A27" s="7">
        <v>44221</v>
      </c>
      <c r="C27" s="5" t="e">
        <f>IF(A27=Planilha1!#REF!,Planilha1!#REF!,"")</f>
        <v>#REF!</v>
      </c>
      <c r="D27" s="10" t="str">
        <f t="shared" si="1"/>
        <v>none</v>
      </c>
      <c r="E27" s="5" t="str">
        <f t="shared" si="0"/>
        <v/>
      </c>
    </row>
    <row r="28" spans="1:5" x14ac:dyDescent="0.3">
      <c r="A28" s="8">
        <v>44222</v>
      </c>
      <c r="C28" s="5" t="e">
        <f>IF(A28=Planilha1!#REF!,Planilha1!#REF!,"")</f>
        <v>#REF!</v>
      </c>
      <c r="D28" s="11" t="str">
        <f t="shared" si="1"/>
        <v>none</v>
      </c>
      <c r="E28" s="5" t="str">
        <f t="shared" si="0"/>
        <v/>
      </c>
    </row>
    <row r="29" spans="1:5" x14ac:dyDescent="0.3">
      <c r="A29" s="7">
        <v>44223</v>
      </c>
      <c r="C29" s="5" t="e">
        <f>IF(A29=Planilha1!#REF!,Planilha1!#REF!,"")</f>
        <v>#REF!</v>
      </c>
      <c r="D29" s="10" t="str">
        <f t="shared" si="1"/>
        <v>none</v>
      </c>
      <c r="E29" s="5" t="str">
        <f t="shared" si="0"/>
        <v/>
      </c>
    </row>
    <row r="30" spans="1:5" x14ac:dyDescent="0.3">
      <c r="A30" s="8">
        <v>44224</v>
      </c>
      <c r="C30" s="5" t="e">
        <f>IF(A30=Planilha1!#REF!,Planilha1!#REF!,"")</f>
        <v>#REF!</v>
      </c>
      <c r="D30" s="11" t="str">
        <f t="shared" si="1"/>
        <v>none</v>
      </c>
      <c r="E30" s="5" t="str">
        <f t="shared" si="0"/>
        <v/>
      </c>
    </row>
    <row r="31" spans="1:5" x14ac:dyDescent="0.3">
      <c r="A31" s="7">
        <v>44225</v>
      </c>
      <c r="C31" s="5" t="e">
        <f>IF(A31=Planilha1!#REF!,Planilha1!#REF!,"")</f>
        <v>#REF!</v>
      </c>
      <c r="D31" s="10" t="str">
        <f t="shared" si="1"/>
        <v>none</v>
      </c>
      <c r="E31" s="5" t="str">
        <f t="shared" si="0"/>
        <v/>
      </c>
    </row>
    <row r="32" spans="1:5" x14ac:dyDescent="0.3">
      <c r="A32" s="8">
        <v>44226</v>
      </c>
      <c r="C32" s="5" t="e">
        <f>IF(A32=Planilha1!#REF!,Planilha1!#REF!,"")</f>
        <v>#REF!</v>
      </c>
      <c r="D32" s="11" t="str">
        <f t="shared" si="1"/>
        <v>none</v>
      </c>
      <c r="E32" s="5" t="str">
        <f t="shared" si="0"/>
        <v/>
      </c>
    </row>
    <row r="33" spans="1:5" x14ac:dyDescent="0.3">
      <c r="A33" s="7">
        <v>44227</v>
      </c>
      <c r="C33" s="5" t="e">
        <f>IF(A33=Planilha1!#REF!,Planilha1!#REF!,"")</f>
        <v>#REF!</v>
      </c>
      <c r="D33" s="10" t="str">
        <f t="shared" si="1"/>
        <v>none</v>
      </c>
      <c r="E33" s="5" t="str">
        <f t="shared" si="0"/>
        <v>FERIADO</v>
      </c>
    </row>
    <row r="34" spans="1:5" x14ac:dyDescent="0.3">
      <c r="A34" s="8">
        <v>44228</v>
      </c>
      <c r="C34" s="5" t="e">
        <f>IF(A34=Planilha1!#REF!,Planilha1!#REF!,"")</f>
        <v>#REF!</v>
      </c>
      <c r="D34" s="11" t="str">
        <f t="shared" si="1"/>
        <v>none</v>
      </c>
      <c r="E34" s="5" t="str">
        <f t="shared" si="0"/>
        <v/>
      </c>
    </row>
    <row r="35" spans="1:5" x14ac:dyDescent="0.3">
      <c r="A35" s="7">
        <v>44229</v>
      </c>
      <c r="C35" s="5" t="e">
        <f>IF(A35=Planilha1!#REF!,Planilha1!#REF!,"")</f>
        <v>#REF!</v>
      </c>
      <c r="D35" s="10" t="str">
        <f t="shared" si="1"/>
        <v>none</v>
      </c>
      <c r="E35" s="5" t="str">
        <f t="shared" si="0"/>
        <v/>
      </c>
    </row>
    <row r="36" spans="1:5" x14ac:dyDescent="0.3">
      <c r="A36" s="8">
        <v>44230</v>
      </c>
      <c r="C36" s="5" t="e">
        <f>IF(A36=Planilha1!#REF!,Planilha1!#REF!,"")</f>
        <v>#REF!</v>
      </c>
      <c r="D36" s="11" t="str">
        <f t="shared" si="1"/>
        <v>none</v>
      </c>
      <c r="E36" s="5" t="str">
        <f t="shared" si="0"/>
        <v/>
      </c>
    </row>
    <row r="37" spans="1:5" x14ac:dyDescent="0.3">
      <c r="A37" s="7">
        <v>44231</v>
      </c>
      <c r="C37" s="5" t="e">
        <f>IF(A37=Planilha1!#REF!,Planilha1!#REF!,"")</f>
        <v>#REF!</v>
      </c>
      <c r="D37" s="10" t="str">
        <f t="shared" si="1"/>
        <v>none</v>
      </c>
      <c r="E37" s="5" t="str">
        <f t="shared" si="0"/>
        <v/>
      </c>
    </row>
    <row r="38" spans="1:5" x14ac:dyDescent="0.3">
      <c r="A38" s="8">
        <v>44232</v>
      </c>
      <c r="C38" s="5" t="e">
        <f>IF(A38=Planilha1!#REF!,Planilha1!#REF!,"")</f>
        <v>#REF!</v>
      </c>
      <c r="D38" s="11" t="str">
        <f t="shared" si="1"/>
        <v>none</v>
      </c>
      <c r="E38" s="5" t="str">
        <f t="shared" si="0"/>
        <v/>
      </c>
    </row>
    <row r="39" spans="1:5" x14ac:dyDescent="0.3">
      <c r="A39" s="7">
        <v>44233</v>
      </c>
      <c r="C39" s="5" t="e">
        <f>IF(A39=Planilha1!#REF!,Planilha1!#REF!,"")</f>
        <v>#REF!</v>
      </c>
      <c r="D39" s="10" t="str">
        <f t="shared" si="1"/>
        <v>none</v>
      </c>
      <c r="E39" s="5" t="str">
        <f t="shared" si="0"/>
        <v/>
      </c>
    </row>
    <row r="40" spans="1:5" x14ac:dyDescent="0.3">
      <c r="A40" s="8">
        <v>44234</v>
      </c>
      <c r="C40" s="5" t="e">
        <f>IF(A40=Planilha1!#REF!,Planilha1!#REF!,"")</f>
        <v>#REF!</v>
      </c>
      <c r="D40" s="11" t="str">
        <f t="shared" si="1"/>
        <v>none</v>
      </c>
      <c r="E40" s="5" t="str">
        <f t="shared" si="0"/>
        <v>FERIADO</v>
      </c>
    </row>
    <row r="41" spans="1:5" x14ac:dyDescent="0.3">
      <c r="A41" s="7">
        <v>44235</v>
      </c>
      <c r="C41" s="5" t="e">
        <f>IF(A41=Planilha1!#REF!,Planilha1!#REF!,"")</f>
        <v>#REF!</v>
      </c>
      <c r="D41" s="10" t="str">
        <f t="shared" si="1"/>
        <v>none</v>
      </c>
      <c r="E41" s="5" t="str">
        <f t="shared" si="0"/>
        <v/>
      </c>
    </row>
    <row r="42" spans="1:5" x14ac:dyDescent="0.3">
      <c r="A42" s="8">
        <v>44236</v>
      </c>
      <c r="C42" s="5" t="e">
        <f>IF(A42=Planilha1!#REF!,Planilha1!#REF!,"")</f>
        <v>#REF!</v>
      </c>
      <c r="D42" s="11" t="str">
        <f t="shared" si="1"/>
        <v>none</v>
      </c>
      <c r="E42" s="5" t="str">
        <f t="shared" si="0"/>
        <v/>
      </c>
    </row>
    <row r="43" spans="1:5" x14ac:dyDescent="0.3">
      <c r="A43" s="7">
        <v>44237</v>
      </c>
      <c r="C43" s="5" t="e">
        <f>IF(A43=Planilha1!#REF!,Planilha1!#REF!,"")</f>
        <v>#REF!</v>
      </c>
      <c r="D43" s="10" t="str">
        <f t="shared" si="1"/>
        <v>none</v>
      </c>
      <c r="E43" s="5" t="str">
        <f t="shared" si="0"/>
        <v/>
      </c>
    </row>
    <row r="44" spans="1:5" x14ac:dyDescent="0.3">
      <c r="A44" s="8">
        <v>44238</v>
      </c>
      <c r="C44" s="5" t="e">
        <f>IF(A44=Planilha1!#REF!,Planilha1!#REF!,"")</f>
        <v>#REF!</v>
      </c>
      <c r="D44" s="11" t="str">
        <f t="shared" si="1"/>
        <v>none</v>
      </c>
      <c r="E44" s="5" t="str">
        <f t="shared" si="0"/>
        <v/>
      </c>
    </row>
    <row r="45" spans="1:5" x14ac:dyDescent="0.3">
      <c r="A45" s="7">
        <v>44239</v>
      </c>
      <c r="C45" s="5" t="e">
        <f>IF(A45=Planilha1!#REF!,Planilha1!#REF!,"")</f>
        <v>#REF!</v>
      </c>
      <c r="D45" s="10" t="str">
        <f t="shared" si="1"/>
        <v>none</v>
      </c>
      <c r="E45" s="5" t="str">
        <f t="shared" si="0"/>
        <v/>
      </c>
    </row>
    <row r="46" spans="1:5" x14ac:dyDescent="0.3">
      <c r="A46" s="8">
        <v>44240</v>
      </c>
      <c r="C46" s="5" t="e">
        <f>IF(A46=Planilha1!#REF!,Planilha1!#REF!,"")</f>
        <v>#REF!</v>
      </c>
      <c r="D46" s="11" t="str">
        <f t="shared" si="1"/>
        <v>none</v>
      </c>
      <c r="E46" s="5" t="str">
        <f t="shared" si="0"/>
        <v/>
      </c>
    </row>
    <row r="47" spans="1:5" x14ac:dyDescent="0.3">
      <c r="A47" s="7">
        <v>44241</v>
      </c>
      <c r="C47" s="5" t="e">
        <f>IF(A47=Planilha1!#REF!,Planilha1!#REF!,"")</f>
        <v>#REF!</v>
      </c>
      <c r="D47" s="10" t="str">
        <f t="shared" si="1"/>
        <v>none</v>
      </c>
      <c r="E47" s="5" t="str">
        <f t="shared" si="0"/>
        <v>FERIADO</v>
      </c>
    </row>
    <row r="48" spans="1:5" x14ac:dyDescent="0.3">
      <c r="A48" s="8">
        <v>44242</v>
      </c>
      <c r="C48" s="5" t="e">
        <f>IF(A48=Planilha1!#REF!,Planilha1!#REF!,"")</f>
        <v>#REF!</v>
      </c>
      <c r="D48" s="11" t="str">
        <f t="shared" si="1"/>
        <v>none</v>
      </c>
      <c r="E48" s="5" t="str">
        <f t="shared" si="0"/>
        <v/>
      </c>
    </row>
    <row r="49" spans="1:5" x14ac:dyDescent="0.3">
      <c r="A49" s="7">
        <v>44243</v>
      </c>
      <c r="C49" s="5" t="e">
        <f>IF(A49=Planilha1!#REF!,Planilha1!#REF!,"")</f>
        <v>#REF!</v>
      </c>
      <c r="D49" s="10" t="str">
        <f t="shared" si="1"/>
        <v>none</v>
      </c>
      <c r="E49" s="5" t="str">
        <f t="shared" si="0"/>
        <v/>
      </c>
    </row>
    <row r="50" spans="1:5" x14ac:dyDescent="0.3">
      <c r="A50" s="8">
        <v>44244</v>
      </c>
      <c r="C50" s="5" t="e">
        <f>IF(A50=Planilha1!#REF!,Planilha1!#REF!,"")</f>
        <v>#REF!</v>
      </c>
      <c r="D50" s="11" t="str">
        <f t="shared" si="1"/>
        <v>none</v>
      </c>
      <c r="E50" s="5" t="str">
        <f t="shared" si="0"/>
        <v/>
      </c>
    </row>
    <row r="51" spans="1:5" x14ac:dyDescent="0.3">
      <c r="A51" s="7">
        <v>44245</v>
      </c>
      <c r="C51" s="5" t="e">
        <f>IF(A51=Planilha1!#REF!,Planilha1!#REF!,"")</f>
        <v>#REF!</v>
      </c>
      <c r="D51" s="10" t="str">
        <f t="shared" si="1"/>
        <v>none</v>
      </c>
      <c r="E51" s="5" t="str">
        <f t="shared" si="0"/>
        <v/>
      </c>
    </row>
    <row r="52" spans="1:5" x14ac:dyDescent="0.3">
      <c r="A52" s="8">
        <v>44246</v>
      </c>
      <c r="C52" s="5" t="e">
        <f>IF(A52=Planilha1!#REF!,Planilha1!#REF!,"")</f>
        <v>#REF!</v>
      </c>
      <c r="D52" s="11" t="str">
        <f t="shared" si="1"/>
        <v>none</v>
      </c>
      <c r="E52" s="5" t="str">
        <f t="shared" si="0"/>
        <v/>
      </c>
    </row>
    <row r="53" spans="1:5" x14ac:dyDescent="0.3">
      <c r="A53" s="7">
        <v>44247</v>
      </c>
      <c r="C53" s="5" t="e">
        <f>IF(A53=Planilha1!#REF!,Planilha1!#REF!,"")</f>
        <v>#REF!</v>
      </c>
      <c r="D53" s="10" t="str">
        <f t="shared" si="1"/>
        <v>none</v>
      </c>
      <c r="E53" s="5" t="str">
        <f t="shared" si="0"/>
        <v/>
      </c>
    </row>
    <row r="54" spans="1:5" x14ac:dyDescent="0.3">
      <c r="A54" s="8">
        <v>44248</v>
      </c>
      <c r="C54" s="5" t="e">
        <f>IF(A54=Planilha1!#REF!,Planilha1!#REF!,"")</f>
        <v>#REF!</v>
      </c>
      <c r="D54" s="11" t="str">
        <f t="shared" si="1"/>
        <v>none</v>
      </c>
      <c r="E54" s="5" t="str">
        <f t="shared" si="0"/>
        <v>FERIADO</v>
      </c>
    </row>
    <row r="55" spans="1:5" x14ac:dyDescent="0.3">
      <c r="A55" s="7">
        <v>44249</v>
      </c>
      <c r="C55" s="5" t="e">
        <f>IF(A55=Planilha1!#REF!,Planilha1!#REF!,"")</f>
        <v>#REF!</v>
      </c>
      <c r="D55" s="10" t="str">
        <f t="shared" si="1"/>
        <v>none</v>
      </c>
      <c r="E55" s="5" t="str">
        <f t="shared" si="0"/>
        <v/>
      </c>
    </row>
    <row r="56" spans="1:5" x14ac:dyDescent="0.3">
      <c r="A56" s="8">
        <v>44250</v>
      </c>
      <c r="C56" s="5" t="e">
        <f>IF(A56=Planilha1!#REF!,Planilha1!#REF!,"")</f>
        <v>#REF!</v>
      </c>
      <c r="D56" s="11" t="str">
        <f t="shared" si="1"/>
        <v>none</v>
      </c>
      <c r="E56" s="5" t="str">
        <f t="shared" si="0"/>
        <v/>
      </c>
    </row>
    <row r="57" spans="1:5" x14ac:dyDescent="0.3">
      <c r="A57" s="7">
        <v>44251</v>
      </c>
      <c r="C57" s="5" t="e">
        <f>IF(A57=Planilha1!#REF!,Planilha1!#REF!,"")</f>
        <v>#REF!</v>
      </c>
      <c r="D57" s="10" t="str">
        <f t="shared" si="1"/>
        <v>none</v>
      </c>
      <c r="E57" s="5" t="str">
        <f t="shared" si="0"/>
        <v/>
      </c>
    </row>
    <row r="58" spans="1:5" x14ac:dyDescent="0.3">
      <c r="A58" s="8">
        <v>44252</v>
      </c>
      <c r="C58" s="5" t="e">
        <f>IF(A58=Planilha1!#REF!,Planilha1!#REF!,"")</f>
        <v>#REF!</v>
      </c>
      <c r="D58" s="11" t="str">
        <f t="shared" si="1"/>
        <v>none</v>
      </c>
      <c r="E58" s="5" t="str">
        <f t="shared" si="0"/>
        <v/>
      </c>
    </row>
    <row r="59" spans="1:5" x14ac:dyDescent="0.3">
      <c r="A59" s="7">
        <v>44253</v>
      </c>
      <c r="C59" s="5" t="e">
        <f>IF(A59=Planilha1!#REF!,Planilha1!#REF!,"")</f>
        <v>#REF!</v>
      </c>
      <c r="D59" s="10" t="str">
        <f t="shared" si="1"/>
        <v>none</v>
      </c>
      <c r="E59" s="5" t="str">
        <f t="shared" si="0"/>
        <v/>
      </c>
    </row>
    <row r="60" spans="1:5" x14ac:dyDescent="0.3">
      <c r="A60" s="8">
        <v>44254</v>
      </c>
      <c r="C60" s="5" t="e">
        <f>IF(A60=Planilha1!#REF!,Planilha1!#REF!,"")</f>
        <v>#REF!</v>
      </c>
      <c r="D60" s="11" t="str">
        <f t="shared" si="1"/>
        <v>none</v>
      </c>
      <c r="E60" s="5" t="str">
        <f t="shared" si="0"/>
        <v/>
      </c>
    </row>
    <row r="61" spans="1:5" x14ac:dyDescent="0.3">
      <c r="A61" s="7">
        <v>44255</v>
      </c>
      <c r="C61" s="5" t="e">
        <f>IF(A61=Planilha1!#REF!,Planilha1!#REF!,"")</f>
        <v>#REF!</v>
      </c>
      <c r="D61" s="10" t="str">
        <f t="shared" si="1"/>
        <v>none</v>
      </c>
      <c r="E61" s="5" t="str">
        <f t="shared" si="0"/>
        <v>FERIADO</v>
      </c>
    </row>
    <row r="62" spans="1:5" x14ac:dyDescent="0.3">
      <c r="A62" s="8">
        <v>44256</v>
      </c>
      <c r="C62" s="5" t="e">
        <f>IF(A62=Planilha1!#REF!,Planilha1!#REF!,"")</f>
        <v>#REF!</v>
      </c>
      <c r="D62" s="11" t="str">
        <f t="shared" si="1"/>
        <v>none</v>
      </c>
      <c r="E62" s="5" t="str">
        <f t="shared" si="0"/>
        <v/>
      </c>
    </row>
    <row r="63" spans="1:5" x14ac:dyDescent="0.3">
      <c r="A63" s="7">
        <v>44257</v>
      </c>
      <c r="C63" s="5" t="e">
        <f>IF(A63=Planilha1!#REF!,Planilha1!#REF!,"")</f>
        <v>#REF!</v>
      </c>
      <c r="D63" s="10" t="str">
        <f t="shared" si="1"/>
        <v>none</v>
      </c>
      <c r="E63" s="5" t="str">
        <f t="shared" si="0"/>
        <v/>
      </c>
    </row>
    <row r="64" spans="1:5" x14ac:dyDescent="0.3">
      <c r="A64" s="8">
        <v>44258</v>
      </c>
      <c r="C64" s="5" t="e">
        <f>IF(A64=Planilha1!#REF!,Planilha1!#REF!,"")</f>
        <v>#REF!</v>
      </c>
      <c r="D64" s="11" t="str">
        <f t="shared" si="1"/>
        <v>none</v>
      </c>
      <c r="E64" s="5" t="str">
        <f t="shared" si="0"/>
        <v/>
      </c>
    </row>
    <row r="65" spans="1:5" x14ac:dyDescent="0.3">
      <c r="A65" s="7">
        <v>44259</v>
      </c>
      <c r="C65" s="5" t="e">
        <f>IF(A65=Planilha1!#REF!,Planilha1!#REF!,"")</f>
        <v>#REF!</v>
      </c>
      <c r="D65" s="10" t="str">
        <f t="shared" si="1"/>
        <v>none</v>
      </c>
      <c r="E65" s="5" t="str">
        <f t="shared" si="0"/>
        <v/>
      </c>
    </row>
    <row r="66" spans="1:5" x14ac:dyDescent="0.3">
      <c r="A66" s="8">
        <v>44260</v>
      </c>
      <c r="C66" s="5" t="e">
        <f>IF(A66=Planilha1!#REF!,Planilha1!#REF!,"")</f>
        <v>#REF!</v>
      </c>
      <c r="D66" s="11" t="str">
        <f t="shared" si="1"/>
        <v>none</v>
      </c>
      <c r="E66" s="5" t="str">
        <f t="shared" si="0"/>
        <v/>
      </c>
    </row>
    <row r="67" spans="1:5" x14ac:dyDescent="0.3">
      <c r="A67" s="7">
        <v>44261</v>
      </c>
      <c r="C67" s="5" t="e">
        <f>IF(A67=Planilha1!#REF!,Planilha1!#REF!,"")</f>
        <v>#REF!</v>
      </c>
      <c r="D67" s="10" t="str">
        <f t="shared" si="1"/>
        <v>none</v>
      </c>
      <c r="E67" s="5" t="str">
        <f t="shared" si="0"/>
        <v/>
      </c>
    </row>
    <row r="68" spans="1:5" x14ac:dyDescent="0.3">
      <c r="A68" s="8">
        <v>44262</v>
      </c>
      <c r="C68" s="5" t="e">
        <f>IF(A68=Planilha1!#REF!,Planilha1!#REF!,"")</f>
        <v>#REF!</v>
      </c>
      <c r="D68" s="11" t="str">
        <f t="shared" si="1"/>
        <v>none</v>
      </c>
      <c r="E68" s="5" t="str">
        <f t="shared" ref="E68:E131" si="2">IF(WEEKDAY(A68,1)=1,"FERIADO","")</f>
        <v>FERIADO</v>
      </c>
    </row>
    <row r="69" spans="1:5" x14ac:dyDescent="0.3">
      <c r="A69" s="7">
        <v>44263</v>
      </c>
      <c r="C69" s="5" t="e">
        <f>IF(A69=Planilha1!#REF!,Planilha1!#REF!,"")</f>
        <v>#REF!</v>
      </c>
      <c r="D69" s="10" t="str">
        <f t="shared" ref="D69:D132" si="3">IF(B69=$K$3,0,IF(B69=$K$4,1,IF(B69=$K$5,"-","none")))</f>
        <v>none</v>
      </c>
      <c r="E69" s="5" t="str">
        <f t="shared" si="2"/>
        <v/>
      </c>
    </row>
    <row r="70" spans="1:5" x14ac:dyDescent="0.3">
      <c r="A70" s="8">
        <v>44264</v>
      </c>
      <c r="C70" s="5" t="e">
        <f>IF(A70=Planilha1!#REF!,Planilha1!#REF!,"")</f>
        <v>#REF!</v>
      </c>
      <c r="D70" s="11" t="str">
        <f t="shared" si="3"/>
        <v>none</v>
      </c>
      <c r="E70" s="5" t="str">
        <f t="shared" si="2"/>
        <v/>
      </c>
    </row>
    <row r="71" spans="1:5" x14ac:dyDescent="0.3">
      <c r="A71" s="7">
        <v>44265</v>
      </c>
      <c r="C71" s="5" t="e">
        <f>IF(A71=Planilha1!#REF!,Planilha1!#REF!,"")</f>
        <v>#REF!</v>
      </c>
      <c r="D71" s="10" t="str">
        <f t="shared" si="3"/>
        <v>none</v>
      </c>
      <c r="E71" s="5" t="str">
        <f t="shared" si="2"/>
        <v/>
      </c>
    </row>
    <row r="72" spans="1:5" x14ac:dyDescent="0.3">
      <c r="A72" s="8">
        <v>44266</v>
      </c>
      <c r="C72" s="5" t="e">
        <f>IF(A72=Planilha1!#REF!,Planilha1!#REF!,"")</f>
        <v>#REF!</v>
      </c>
      <c r="D72" s="11" t="str">
        <f t="shared" si="3"/>
        <v>none</v>
      </c>
      <c r="E72" s="5" t="str">
        <f t="shared" si="2"/>
        <v/>
      </c>
    </row>
    <row r="73" spans="1:5" x14ac:dyDescent="0.3">
      <c r="A73" s="7">
        <v>44267</v>
      </c>
      <c r="C73" s="5" t="e">
        <f>IF(A73=Planilha1!#REF!,Planilha1!#REF!,"")</f>
        <v>#REF!</v>
      </c>
      <c r="D73" s="10" t="str">
        <f t="shared" si="3"/>
        <v>none</v>
      </c>
      <c r="E73" s="5" t="str">
        <f t="shared" si="2"/>
        <v/>
      </c>
    </row>
    <row r="74" spans="1:5" x14ac:dyDescent="0.3">
      <c r="A74" s="8">
        <v>44268</v>
      </c>
      <c r="C74" s="5" t="e">
        <f>IF(A74=Planilha1!#REF!,Planilha1!#REF!,"")</f>
        <v>#REF!</v>
      </c>
      <c r="D74" s="11" t="str">
        <f t="shared" si="3"/>
        <v>none</v>
      </c>
      <c r="E74" s="5" t="str">
        <f t="shared" si="2"/>
        <v/>
      </c>
    </row>
    <row r="75" spans="1:5" x14ac:dyDescent="0.3">
      <c r="A75" s="7">
        <v>44269</v>
      </c>
      <c r="C75" s="5" t="e">
        <f>IF(A75=Planilha1!#REF!,Planilha1!#REF!,"")</f>
        <v>#REF!</v>
      </c>
      <c r="D75" s="10" t="str">
        <f t="shared" si="3"/>
        <v>none</v>
      </c>
      <c r="E75" s="5" t="str">
        <f t="shared" si="2"/>
        <v>FERIADO</v>
      </c>
    </row>
    <row r="76" spans="1:5" x14ac:dyDescent="0.3">
      <c r="A76" s="8">
        <v>44270</v>
      </c>
      <c r="C76" s="5" t="e">
        <f>IF(A76=Planilha1!#REF!,Planilha1!#REF!,"")</f>
        <v>#REF!</v>
      </c>
      <c r="D76" s="11" t="str">
        <f t="shared" si="3"/>
        <v>none</v>
      </c>
      <c r="E76" s="5" t="str">
        <f t="shared" si="2"/>
        <v/>
      </c>
    </row>
    <row r="77" spans="1:5" x14ac:dyDescent="0.3">
      <c r="A77" s="7">
        <v>44271</v>
      </c>
      <c r="C77" s="5" t="e">
        <f>IF(A77=Planilha1!#REF!,Planilha1!#REF!,"")</f>
        <v>#REF!</v>
      </c>
      <c r="D77" s="10" t="str">
        <f t="shared" si="3"/>
        <v>none</v>
      </c>
      <c r="E77" s="5" t="str">
        <f t="shared" si="2"/>
        <v/>
      </c>
    </row>
    <row r="78" spans="1:5" x14ac:dyDescent="0.3">
      <c r="A78" s="8">
        <v>44272</v>
      </c>
      <c r="C78" s="5" t="e">
        <f>IF(A78=Planilha1!#REF!,Planilha1!#REF!,"")</f>
        <v>#REF!</v>
      </c>
      <c r="D78" s="11" t="str">
        <f t="shared" si="3"/>
        <v>none</v>
      </c>
      <c r="E78" s="5" t="str">
        <f t="shared" si="2"/>
        <v/>
      </c>
    </row>
    <row r="79" spans="1:5" x14ac:dyDescent="0.3">
      <c r="A79" s="7">
        <v>44273</v>
      </c>
      <c r="C79" s="5" t="e">
        <f>IF(A79=Planilha1!#REF!,Planilha1!#REF!,"")</f>
        <v>#REF!</v>
      </c>
      <c r="D79" s="10" t="str">
        <f t="shared" si="3"/>
        <v>none</v>
      </c>
      <c r="E79" s="5" t="str">
        <f t="shared" si="2"/>
        <v/>
      </c>
    </row>
    <row r="80" spans="1:5" x14ac:dyDescent="0.3">
      <c r="A80" s="8">
        <v>44274</v>
      </c>
      <c r="C80" s="5" t="e">
        <f>IF(A80=Planilha1!#REF!,Planilha1!#REF!,"")</f>
        <v>#REF!</v>
      </c>
      <c r="D80" s="11" t="str">
        <f t="shared" si="3"/>
        <v>none</v>
      </c>
      <c r="E80" s="5" t="str">
        <f t="shared" si="2"/>
        <v/>
      </c>
    </row>
    <row r="81" spans="1:5" x14ac:dyDescent="0.3">
      <c r="A81" s="7">
        <v>44275</v>
      </c>
      <c r="C81" s="5" t="e">
        <f>IF(A81=Planilha1!#REF!,Planilha1!#REF!,"")</f>
        <v>#REF!</v>
      </c>
      <c r="D81" s="10" t="str">
        <f t="shared" si="3"/>
        <v>none</v>
      </c>
      <c r="E81" s="5" t="str">
        <f t="shared" si="2"/>
        <v/>
      </c>
    </row>
    <row r="82" spans="1:5" x14ac:dyDescent="0.3">
      <c r="A82" s="8">
        <v>44276</v>
      </c>
      <c r="C82" s="5" t="e">
        <f>IF(A82=Planilha1!#REF!,Planilha1!#REF!,"")</f>
        <v>#REF!</v>
      </c>
      <c r="D82" s="11" t="str">
        <f t="shared" si="3"/>
        <v>none</v>
      </c>
      <c r="E82" s="5" t="str">
        <f t="shared" si="2"/>
        <v>FERIADO</v>
      </c>
    </row>
    <row r="83" spans="1:5" x14ac:dyDescent="0.3">
      <c r="A83" s="7">
        <v>44277</v>
      </c>
      <c r="C83" s="5" t="e">
        <f>IF(A83=Planilha1!#REF!,Planilha1!#REF!,"")</f>
        <v>#REF!</v>
      </c>
      <c r="D83" s="10" t="str">
        <f t="shared" si="3"/>
        <v>none</v>
      </c>
      <c r="E83" s="5" t="str">
        <f t="shared" si="2"/>
        <v/>
      </c>
    </row>
    <row r="84" spans="1:5" x14ac:dyDescent="0.3">
      <c r="A84" s="8">
        <v>44278</v>
      </c>
      <c r="C84" s="5" t="e">
        <f>IF(A84=Planilha1!#REF!,Planilha1!#REF!,"")</f>
        <v>#REF!</v>
      </c>
      <c r="D84" s="11" t="str">
        <f t="shared" si="3"/>
        <v>none</v>
      </c>
      <c r="E84" s="5" t="str">
        <f t="shared" si="2"/>
        <v/>
      </c>
    </row>
    <row r="85" spans="1:5" x14ac:dyDescent="0.3">
      <c r="A85" s="7">
        <v>44279</v>
      </c>
      <c r="C85" s="5" t="e">
        <f>IF(A85=Planilha1!#REF!,Planilha1!#REF!,"")</f>
        <v>#REF!</v>
      </c>
      <c r="D85" s="10" t="str">
        <f t="shared" si="3"/>
        <v>none</v>
      </c>
      <c r="E85" s="5" t="str">
        <f t="shared" si="2"/>
        <v/>
      </c>
    </row>
    <row r="86" spans="1:5" x14ac:dyDescent="0.3">
      <c r="A86" s="8">
        <v>44280</v>
      </c>
      <c r="C86" s="5" t="e">
        <f>IF(A86=Planilha1!#REF!,Planilha1!#REF!,"")</f>
        <v>#REF!</v>
      </c>
      <c r="D86" s="11" t="str">
        <f t="shared" si="3"/>
        <v>none</v>
      </c>
      <c r="E86" s="5" t="str">
        <f t="shared" si="2"/>
        <v/>
      </c>
    </row>
    <row r="87" spans="1:5" x14ac:dyDescent="0.3">
      <c r="A87" s="7">
        <v>44281</v>
      </c>
      <c r="C87" s="5" t="e">
        <f>IF(A87=Planilha1!#REF!,Planilha1!#REF!,"")</f>
        <v>#REF!</v>
      </c>
      <c r="D87" s="10" t="str">
        <f t="shared" si="3"/>
        <v>none</v>
      </c>
      <c r="E87" s="5" t="str">
        <f t="shared" si="2"/>
        <v/>
      </c>
    </row>
    <row r="88" spans="1:5" x14ac:dyDescent="0.3">
      <c r="A88" s="8">
        <v>44282</v>
      </c>
      <c r="C88" s="5" t="e">
        <f>IF(A88=Planilha1!#REF!,Planilha1!#REF!,"")</f>
        <v>#REF!</v>
      </c>
      <c r="D88" s="11" t="str">
        <f t="shared" si="3"/>
        <v>none</v>
      </c>
      <c r="E88" s="5" t="str">
        <f t="shared" si="2"/>
        <v/>
      </c>
    </row>
    <row r="89" spans="1:5" x14ac:dyDescent="0.3">
      <c r="A89" s="7">
        <v>44283</v>
      </c>
      <c r="C89" s="5" t="e">
        <f>IF(A89=Planilha1!#REF!,Planilha1!#REF!,"")</f>
        <v>#REF!</v>
      </c>
      <c r="D89" s="10" t="str">
        <f t="shared" si="3"/>
        <v>none</v>
      </c>
      <c r="E89" s="5" t="str">
        <f t="shared" si="2"/>
        <v>FERIADO</v>
      </c>
    </row>
    <row r="90" spans="1:5" x14ac:dyDescent="0.3">
      <c r="A90" s="8">
        <v>44284</v>
      </c>
      <c r="C90" s="5" t="e">
        <f>IF(A90=Planilha1!#REF!,Planilha1!#REF!,"")</f>
        <v>#REF!</v>
      </c>
      <c r="D90" s="11" t="str">
        <f t="shared" si="3"/>
        <v>none</v>
      </c>
      <c r="E90" s="5" t="str">
        <f t="shared" si="2"/>
        <v/>
      </c>
    </row>
    <row r="91" spans="1:5" x14ac:dyDescent="0.3">
      <c r="A91" s="7">
        <v>44285</v>
      </c>
      <c r="C91" s="5" t="e">
        <f>IF(A91=Planilha1!#REF!,Planilha1!#REF!,"")</f>
        <v>#REF!</v>
      </c>
      <c r="D91" s="10" t="str">
        <f t="shared" si="3"/>
        <v>none</v>
      </c>
      <c r="E91" s="5" t="str">
        <f t="shared" si="2"/>
        <v/>
      </c>
    </row>
    <row r="92" spans="1:5" x14ac:dyDescent="0.3">
      <c r="A92" s="8">
        <v>44286</v>
      </c>
      <c r="C92" s="5" t="e">
        <f>IF(A92=Planilha1!#REF!,Planilha1!#REF!,"")</f>
        <v>#REF!</v>
      </c>
      <c r="D92" s="11" t="str">
        <f t="shared" si="3"/>
        <v>none</v>
      </c>
      <c r="E92" s="5" t="str">
        <f t="shared" si="2"/>
        <v/>
      </c>
    </row>
    <row r="93" spans="1:5" x14ac:dyDescent="0.3">
      <c r="A93" s="7">
        <v>44287</v>
      </c>
      <c r="C93" s="5" t="e">
        <f>IF(A93=Planilha1!#REF!,Planilha1!#REF!,"")</f>
        <v>#REF!</v>
      </c>
      <c r="D93" s="10" t="str">
        <f t="shared" si="3"/>
        <v>none</v>
      </c>
      <c r="E93" s="5" t="str">
        <f t="shared" si="2"/>
        <v/>
      </c>
    </row>
    <row r="94" spans="1:5" x14ac:dyDescent="0.3">
      <c r="A94" s="8">
        <v>44288</v>
      </c>
      <c r="C94" s="5" t="e">
        <f>IF(A94=Planilha1!#REF!,Planilha1!#REF!,"")</f>
        <v>#REF!</v>
      </c>
      <c r="D94" s="11" t="str">
        <f t="shared" si="3"/>
        <v>none</v>
      </c>
      <c r="E94" s="5" t="str">
        <f t="shared" si="2"/>
        <v/>
      </c>
    </row>
    <row r="95" spans="1:5" x14ac:dyDescent="0.3">
      <c r="A95" s="7">
        <v>44289</v>
      </c>
      <c r="C95" s="5" t="e">
        <f>IF(A95=Planilha1!#REF!,Planilha1!#REF!,"")</f>
        <v>#REF!</v>
      </c>
      <c r="D95" s="10" t="str">
        <f t="shared" si="3"/>
        <v>none</v>
      </c>
      <c r="E95" s="5" t="str">
        <f t="shared" si="2"/>
        <v/>
      </c>
    </row>
    <row r="96" spans="1:5" x14ac:dyDescent="0.3">
      <c r="A96" s="8">
        <v>44290</v>
      </c>
      <c r="C96" s="5" t="e">
        <f>IF(A96=Planilha1!#REF!,Planilha1!#REF!,"")</f>
        <v>#REF!</v>
      </c>
      <c r="D96" s="11" t="str">
        <f t="shared" si="3"/>
        <v>none</v>
      </c>
      <c r="E96" s="5" t="str">
        <f t="shared" si="2"/>
        <v>FERIADO</v>
      </c>
    </row>
    <row r="97" spans="1:5" x14ac:dyDescent="0.3">
      <c r="A97" s="7">
        <v>44291</v>
      </c>
      <c r="C97" s="5" t="e">
        <f>IF(A97=Planilha1!#REF!,Planilha1!#REF!,"")</f>
        <v>#REF!</v>
      </c>
      <c r="D97" s="10" t="str">
        <f t="shared" si="3"/>
        <v>none</v>
      </c>
      <c r="E97" s="5" t="str">
        <f t="shared" si="2"/>
        <v/>
      </c>
    </row>
    <row r="98" spans="1:5" x14ac:dyDescent="0.3">
      <c r="A98" s="8">
        <v>44292</v>
      </c>
      <c r="C98" s="5" t="e">
        <f>IF(A98=Planilha1!#REF!,Planilha1!#REF!,"")</f>
        <v>#REF!</v>
      </c>
      <c r="D98" s="11" t="str">
        <f t="shared" si="3"/>
        <v>none</v>
      </c>
      <c r="E98" s="5" t="str">
        <f t="shared" si="2"/>
        <v/>
      </c>
    </row>
    <row r="99" spans="1:5" x14ac:dyDescent="0.3">
      <c r="A99" s="7">
        <v>44293</v>
      </c>
      <c r="C99" s="5" t="e">
        <f>IF(A99=Planilha1!#REF!,Planilha1!#REF!,"")</f>
        <v>#REF!</v>
      </c>
      <c r="D99" s="10" t="str">
        <f t="shared" si="3"/>
        <v>none</v>
      </c>
      <c r="E99" s="5" t="str">
        <f t="shared" si="2"/>
        <v/>
      </c>
    </row>
    <row r="100" spans="1:5" x14ac:dyDescent="0.3">
      <c r="A100" s="8">
        <v>44294</v>
      </c>
      <c r="C100" s="5" t="e">
        <f>IF(A100=Planilha1!#REF!,Planilha1!#REF!,"")</f>
        <v>#REF!</v>
      </c>
      <c r="D100" s="11" t="str">
        <f t="shared" si="3"/>
        <v>none</v>
      </c>
      <c r="E100" s="5" t="str">
        <f t="shared" si="2"/>
        <v/>
      </c>
    </row>
    <row r="101" spans="1:5" x14ac:dyDescent="0.3">
      <c r="A101" s="7">
        <v>44295</v>
      </c>
      <c r="C101" s="5" t="e">
        <f>IF(A101=Planilha1!#REF!,Planilha1!#REF!,"")</f>
        <v>#REF!</v>
      </c>
      <c r="D101" s="10" t="str">
        <f t="shared" si="3"/>
        <v>none</v>
      </c>
      <c r="E101" s="5" t="str">
        <f t="shared" si="2"/>
        <v/>
      </c>
    </row>
    <row r="102" spans="1:5" x14ac:dyDescent="0.3">
      <c r="A102" s="8">
        <v>44296</v>
      </c>
      <c r="C102" s="5" t="e">
        <f>IF(A102=Planilha1!#REF!,Planilha1!#REF!,"")</f>
        <v>#REF!</v>
      </c>
      <c r="D102" s="11" t="str">
        <f t="shared" si="3"/>
        <v>none</v>
      </c>
      <c r="E102" s="5" t="str">
        <f t="shared" si="2"/>
        <v/>
      </c>
    </row>
    <row r="103" spans="1:5" x14ac:dyDescent="0.3">
      <c r="A103" s="7">
        <v>44297</v>
      </c>
      <c r="C103" s="5" t="e">
        <f>IF(A103=Planilha1!#REF!,Planilha1!#REF!,"")</f>
        <v>#REF!</v>
      </c>
      <c r="D103" s="10" t="str">
        <f t="shared" si="3"/>
        <v>none</v>
      </c>
      <c r="E103" s="5" t="str">
        <f t="shared" si="2"/>
        <v>FERIADO</v>
      </c>
    </row>
    <row r="104" spans="1:5" x14ac:dyDescent="0.3">
      <c r="A104" s="8">
        <v>44298</v>
      </c>
      <c r="C104" s="5" t="e">
        <f>IF(A104=Planilha1!#REF!,Planilha1!#REF!,"")</f>
        <v>#REF!</v>
      </c>
      <c r="D104" s="11" t="str">
        <f t="shared" si="3"/>
        <v>none</v>
      </c>
      <c r="E104" s="5" t="str">
        <f t="shared" si="2"/>
        <v/>
      </c>
    </row>
    <row r="105" spans="1:5" x14ac:dyDescent="0.3">
      <c r="A105" s="7">
        <v>44299</v>
      </c>
      <c r="C105" s="5" t="e">
        <f>IF(A105=Planilha1!#REF!,Planilha1!#REF!,"")</f>
        <v>#REF!</v>
      </c>
      <c r="D105" s="10" t="str">
        <f t="shared" si="3"/>
        <v>none</v>
      </c>
      <c r="E105" s="5" t="str">
        <f t="shared" si="2"/>
        <v/>
      </c>
    </row>
    <row r="106" spans="1:5" x14ac:dyDescent="0.3">
      <c r="A106" s="8">
        <v>44300</v>
      </c>
      <c r="C106" s="5" t="e">
        <f>IF(A106=Planilha1!#REF!,Planilha1!#REF!,"")</f>
        <v>#REF!</v>
      </c>
      <c r="D106" s="11" t="str">
        <f t="shared" si="3"/>
        <v>none</v>
      </c>
      <c r="E106" s="5" t="str">
        <f t="shared" si="2"/>
        <v/>
      </c>
    </row>
    <row r="107" spans="1:5" x14ac:dyDescent="0.3">
      <c r="A107" s="7">
        <v>44301</v>
      </c>
      <c r="C107" s="5" t="e">
        <f>IF(A107=Planilha1!#REF!,Planilha1!#REF!,"")</f>
        <v>#REF!</v>
      </c>
      <c r="D107" s="10" t="str">
        <f t="shared" si="3"/>
        <v>none</v>
      </c>
      <c r="E107" s="5" t="str">
        <f t="shared" si="2"/>
        <v/>
      </c>
    </row>
    <row r="108" spans="1:5" x14ac:dyDescent="0.3">
      <c r="A108" s="8">
        <v>44302</v>
      </c>
      <c r="C108" s="5" t="e">
        <f>IF(A108=Planilha1!#REF!,Planilha1!#REF!,"")</f>
        <v>#REF!</v>
      </c>
      <c r="D108" s="11" t="str">
        <f t="shared" si="3"/>
        <v>none</v>
      </c>
      <c r="E108" s="5" t="str">
        <f t="shared" si="2"/>
        <v/>
      </c>
    </row>
    <row r="109" spans="1:5" x14ac:dyDescent="0.3">
      <c r="A109" s="7">
        <v>44303</v>
      </c>
      <c r="C109" s="5" t="e">
        <f>IF(A109=Planilha1!#REF!,Planilha1!#REF!,"")</f>
        <v>#REF!</v>
      </c>
      <c r="D109" s="10" t="str">
        <f t="shared" si="3"/>
        <v>none</v>
      </c>
      <c r="E109" s="5" t="str">
        <f t="shared" si="2"/>
        <v/>
      </c>
    </row>
    <row r="110" spans="1:5" x14ac:dyDescent="0.3">
      <c r="A110" s="8">
        <v>44304</v>
      </c>
      <c r="C110" s="5" t="e">
        <f>IF(A110=Planilha1!#REF!,Planilha1!#REF!,"")</f>
        <v>#REF!</v>
      </c>
      <c r="D110" s="11" t="str">
        <f t="shared" si="3"/>
        <v>none</v>
      </c>
      <c r="E110" s="5" t="str">
        <f t="shared" si="2"/>
        <v>FERIADO</v>
      </c>
    </row>
    <row r="111" spans="1:5" x14ac:dyDescent="0.3">
      <c r="A111" s="7">
        <v>44305</v>
      </c>
      <c r="C111" s="5" t="e">
        <f>IF(A111=Planilha1!#REF!,Planilha1!#REF!,"")</f>
        <v>#REF!</v>
      </c>
      <c r="D111" s="10" t="str">
        <f t="shared" si="3"/>
        <v>none</v>
      </c>
      <c r="E111" s="5" t="str">
        <f t="shared" si="2"/>
        <v/>
      </c>
    </row>
    <row r="112" spans="1:5" x14ac:dyDescent="0.3">
      <c r="A112" s="8">
        <v>44306</v>
      </c>
      <c r="C112" s="5" t="e">
        <f>IF(A112=Planilha1!#REF!,Planilha1!#REF!,"")</f>
        <v>#REF!</v>
      </c>
      <c r="D112" s="11" t="str">
        <f t="shared" si="3"/>
        <v>none</v>
      </c>
      <c r="E112" s="5" t="str">
        <f t="shared" si="2"/>
        <v/>
      </c>
    </row>
    <row r="113" spans="1:5" x14ac:dyDescent="0.3">
      <c r="A113" s="7">
        <v>44307</v>
      </c>
      <c r="C113" s="5" t="e">
        <f>IF(A113=Planilha1!#REF!,Planilha1!#REF!,"")</f>
        <v>#REF!</v>
      </c>
      <c r="D113" s="10" t="str">
        <f t="shared" si="3"/>
        <v>none</v>
      </c>
      <c r="E113" s="5" t="str">
        <f t="shared" si="2"/>
        <v/>
      </c>
    </row>
    <row r="114" spans="1:5" x14ac:dyDescent="0.3">
      <c r="A114" s="8">
        <v>44308</v>
      </c>
      <c r="C114" s="5" t="e">
        <f>IF(A114=Planilha1!#REF!,Planilha1!#REF!,"")</f>
        <v>#REF!</v>
      </c>
      <c r="D114" s="11" t="str">
        <f t="shared" si="3"/>
        <v>none</v>
      </c>
      <c r="E114" s="5" t="str">
        <f t="shared" si="2"/>
        <v/>
      </c>
    </row>
    <row r="115" spans="1:5" x14ac:dyDescent="0.3">
      <c r="A115" s="7">
        <v>44309</v>
      </c>
      <c r="C115" s="5" t="e">
        <f>IF(A115=Planilha1!#REF!,Planilha1!#REF!,"")</f>
        <v>#REF!</v>
      </c>
      <c r="D115" s="10" t="str">
        <f t="shared" si="3"/>
        <v>none</v>
      </c>
      <c r="E115" s="5" t="str">
        <f t="shared" si="2"/>
        <v/>
      </c>
    </row>
    <row r="116" spans="1:5" x14ac:dyDescent="0.3">
      <c r="A116" s="8">
        <v>44310</v>
      </c>
      <c r="C116" s="5" t="e">
        <f>IF(A116=Planilha1!#REF!,Planilha1!#REF!,"")</f>
        <v>#REF!</v>
      </c>
      <c r="D116" s="11" t="str">
        <f t="shared" si="3"/>
        <v>none</v>
      </c>
      <c r="E116" s="5" t="str">
        <f t="shared" si="2"/>
        <v/>
      </c>
    </row>
    <row r="117" spans="1:5" x14ac:dyDescent="0.3">
      <c r="A117" s="7">
        <v>44311</v>
      </c>
      <c r="C117" s="5" t="e">
        <f>IF(A117=Planilha1!#REF!,Planilha1!#REF!,"")</f>
        <v>#REF!</v>
      </c>
      <c r="D117" s="10" t="str">
        <f t="shared" si="3"/>
        <v>none</v>
      </c>
      <c r="E117" s="5" t="str">
        <f t="shared" si="2"/>
        <v>FERIADO</v>
      </c>
    </row>
    <row r="118" spans="1:5" x14ac:dyDescent="0.3">
      <c r="A118" s="8">
        <v>44312</v>
      </c>
      <c r="C118" s="5" t="e">
        <f>IF(A118=Planilha1!#REF!,Planilha1!#REF!,"")</f>
        <v>#REF!</v>
      </c>
      <c r="D118" s="11" t="str">
        <f t="shared" si="3"/>
        <v>none</v>
      </c>
      <c r="E118" s="5" t="str">
        <f t="shared" si="2"/>
        <v/>
      </c>
    </row>
    <row r="119" spans="1:5" x14ac:dyDescent="0.3">
      <c r="A119" s="7">
        <v>44313</v>
      </c>
      <c r="C119" s="5" t="e">
        <f>IF(A119=Planilha1!#REF!,Planilha1!#REF!,"")</f>
        <v>#REF!</v>
      </c>
      <c r="D119" s="10" t="str">
        <f t="shared" si="3"/>
        <v>none</v>
      </c>
      <c r="E119" s="5" t="str">
        <f t="shared" si="2"/>
        <v/>
      </c>
    </row>
    <row r="120" spans="1:5" x14ac:dyDescent="0.3">
      <c r="A120" s="8">
        <v>44314</v>
      </c>
      <c r="C120" s="5" t="e">
        <f>IF(A120=Planilha1!#REF!,Planilha1!#REF!,"")</f>
        <v>#REF!</v>
      </c>
      <c r="D120" s="11" t="str">
        <f t="shared" si="3"/>
        <v>none</v>
      </c>
      <c r="E120" s="5" t="str">
        <f t="shared" si="2"/>
        <v/>
      </c>
    </row>
    <row r="121" spans="1:5" x14ac:dyDescent="0.3">
      <c r="A121" s="7">
        <v>44315</v>
      </c>
      <c r="C121" s="5" t="e">
        <f>IF(A121=Planilha1!#REF!,Planilha1!#REF!,"")</f>
        <v>#REF!</v>
      </c>
      <c r="D121" s="10" t="str">
        <f t="shared" si="3"/>
        <v>none</v>
      </c>
      <c r="E121" s="5" t="str">
        <f t="shared" si="2"/>
        <v/>
      </c>
    </row>
    <row r="122" spans="1:5" x14ac:dyDescent="0.3">
      <c r="A122" s="8">
        <v>44316</v>
      </c>
      <c r="C122" s="5" t="e">
        <f>IF(A122=Planilha1!#REF!,Planilha1!#REF!,"")</f>
        <v>#REF!</v>
      </c>
      <c r="D122" s="11" t="str">
        <f t="shared" si="3"/>
        <v>none</v>
      </c>
      <c r="E122" s="5" t="str">
        <f t="shared" si="2"/>
        <v/>
      </c>
    </row>
    <row r="123" spans="1:5" x14ac:dyDescent="0.3">
      <c r="A123" s="7">
        <v>44317</v>
      </c>
      <c r="C123" s="5" t="e">
        <f>IF(A123=Planilha1!#REF!,Planilha1!#REF!,"")</f>
        <v>#REF!</v>
      </c>
      <c r="D123" s="10" t="str">
        <f t="shared" si="3"/>
        <v>none</v>
      </c>
      <c r="E123" s="5" t="str">
        <f t="shared" si="2"/>
        <v/>
      </c>
    </row>
    <row r="124" spans="1:5" x14ac:dyDescent="0.3">
      <c r="A124" s="8">
        <v>44318</v>
      </c>
      <c r="C124" s="5" t="e">
        <f>IF(A124=Planilha1!#REF!,Planilha1!#REF!,"")</f>
        <v>#REF!</v>
      </c>
      <c r="D124" s="11" t="str">
        <f t="shared" si="3"/>
        <v>none</v>
      </c>
      <c r="E124" s="5" t="str">
        <f t="shared" si="2"/>
        <v>FERIADO</v>
      </c>
    </row>
    <row r="125" spans="1:5" x14ac:dyDescent="0.3">
      <c r="A125" s="7">
        <v>44319</v>
      </c>
      <c r="C125" s="5" t="e">
        <f>IF(A125=Planilha1!#REF!,Planilha1!#REF!,"")</f>
        <v>#REF!</v>
      </c>
      <c r="D125" s="10" t="str">
        <f t="shared" si="3"/>
        <v>none</v>
      </c>
      <c r="E125" s="5" t="str">
        <f t="shared" si="2"/>
        <v/>
      </c>
    </row>
    <row r="126" spans="1:5" x14ac:dyDescent="0.3">
      <c r="A126" s="8">
        <v>44320</v>
      </c>
      <c r="C126" s="5" t="e">
        <f>IF(A126=Planilha1!#REF!,Planilha1!#REF!,"")</f>
        <v>#REF!</v>
      </c>
      <c r="D126" s="11" t="str">
        <f t="shared" si="3"/>
        <v>none</v>
      </c>
      <c r="E126" s="5" t="str">
        <f t="shared" si="2"/>
        <v/>
      </c>
    </row>
    <row r="127" spans="1:5" x14ac:dyDescent="0.3">
      <c r="A127" s="7">
        <v>44321</v>
      </c>
      <c r="C127" s="5" t="e">
        <f>IF(A127=Planilha1!#REF!,Planilha1!#REF!,"")</f>
        <v>#REF!</v>
      </c>
      <c r="D127" s="10" t="str">
        <f t="shared" si="3"/>
        <v>none</v>
      </c>
      <c r="E127" s="5" t="str">
        <f t="shared" si="2"/>
        <v/>
      </c>
    </row>
    <row r="128" spans="1:5" x14ac:dyDescent="0.3">
      <c r="A128" s="8">
        <v>44322</v>
      </c>
      <c r="C128" s="5" t="e">
        <f>IF(A128=Planilha1!#REF!,Planilha1!#REF!,"")</f>
        <v>#REF!</v>
      </c>
      <c r="D128" s="11" t="str">
        <f t="shared" si="3"/>
        <v>none</v>
      </c>
      <c r="E128" s="5" t="str">
        <f t="shared" si="2"/>
        <v/>
      </c>
    </row>
    <row r="129" spans="1:5" x14ac:dyDescent="0.3">
      <c r="A129" s="7">
        <v>44323</v>
      </c>
      <c r="C129" s="5" t="e">
        <f>IF(A129=Planilha1!#REF!,Planilha1!#REF!,"")</f>
        <v>#REF!</v>
      </c>
      <c r="D129" s="10" t="str">
        <f t="shared" si="3"/>
        <v>none</v>
      </c>
      <c r="E129" s="5" t="str">
        <f t="shared" si="2"/>
        <v/>
      </c>
    </row>
    <row r="130" spans="1:5" x14ac:dyDescent="0.3">
      <c r="A130" s="8">
        <v>44324</v>
      </c>
      <c r="C130" s="5" t="e">
        <f>IF(A130=Planilha1!#REF!,Planilha1!#REF!,"")</f>
        <v>#REF!</v>
      </c>
      <c r="D130" s="11" t="str">
        <f t="shared" si="3"/>
        <v>none</v>
      </c>
      <c r="E130" s="5" t="str">
        <f t="shared" si="2"/>
        <v/>
      </c>
    </row>
    <row r="131" spans="1:5" x14ac:dyDescent="0.3">
      <c r="A131" s="7">
        <v>44325</v>
      </c>
      <c r="C131" s="5" t="e">
        <f>IF(A131=Planilha1!#REF!,Planilha1!#REF!,"")</f>
        <v>#REF!</v>
      </c>
      <c r="D131" s="10" t="str">
        <f t="shared" si="3"/>
        <v>none</v>
      </c>
      <c r="E131" s="5" t="str">
        <f t="shared" si="2"/>
        <v>FERIADO</v>
      </c>
    </row>
    <row r="132" spans="1:5" x14ac:dyDescent="0.3">
      <c r="A132" s="8">
        <v>44326</v>
      </c>
      <c r="C132" s="5" t="e">
        <f>IF(A132=Planilha1!#REF!,Planilha1!#REF!,"")</f>
        <v>#REF!</v>
      </c>
      <c r="D132" s="11" t="str">
        <f t="shared" si="3"/>
        <v>none</v>
      </c>
      <c r="E132" s="5" t="str">
        <f t="shared" ref="E132:E195" si="4">IF(WEEKDAY(A132,1)=1,"FERIADO","")</f>
        <v/>
      </c>
    </row>
    <row r="133" spans="1:5" x14ac:dyDescent="0.3">
      <c r="A133" s="7">
        <v>44327</v>
      </c>
      <c r="C133" s="5" t="e">
        <f>IF(A133=Planilha1!#REF!,Planilha1!#REF!,"")</f>
        <v>#REF!</v>
      </c>
      <c r="D133" s="10" t="str">
        <f t="shared" ref="D133:D196" si="5">IF(B133=$K$3,0,IF(B133=$K$4,1,IF(B133=$K$5,"-","none")))</f>
        <v>none</v>
      </c>
      <c r="E133" s="5" t="str">
        <f t="shared" si="4"/>
        <v/>
      </c>
    </row>
    <row r="134" spans="1:5" x14ac:dyDescent="0.3">
      <c r="A134" s="8">
        <v>44328</v>
      </c>
      <c r="C134" s="5" t="e">
        <f>IF(A134=Planilha1!#REF!,Planilha1!#REF!,"")</f>
        <v>#REF!</v>
      </c>
      <c r="D134" s="11" t="str">
        <f t="shared" si="5"/>
        <v>none</v>
      </c>
      <c r="E134" s="5" t="str">
        <f t="shared" si="4"/>
        <v/>
      </c>
    </row>
    <row r="135" spans="1:5" x14ac:dyDescent="0.3">
      <c r="A135" s="7">
        <v>44329</v>
      </c>
      <c r="C135" s="5" t="e">
        <f>IF(A135=Planilha1!#REF!,Planilha1!#REF!,"")</f>
        <v>#REF!</v>
      </c>
      <c r="D135" s="10" t="str">
        <f t="shared" si="5"/>
        <v>none</v>
      </c>
      <c r="E135" s="5" t="str">
        <f t="shared" si="4"/>
        <v/>
      </c>
    </row>
    <row r="136" spans="1:5" x14ac:dyDescent="0.3">
      <c r="A136" s="8">
        <v>44330</v>
      </c>
      <c r="C136" s="5" t="e">
        <f>IF(A136=Planilha1!#REF!,Planilha1!#REF!,"")</f>
        <v>#REF!</v>
      </c>
      <c r="D136" s="11" t="str">
        <f t="shared" si="5"/>
        <v>none</v>
      </c>
      <c r="E136" s="5" t="str">
        <f t="shared" si="4"/>
        <v/>
      </c>
    </row>
    <row r="137" spans="1:5" x14ac:dyDescent="0.3">
      <c r="A137" s="7">
        <v>44331</v>
      </c>
      <c r="C137" s="5" t="e">
        <f>IF(A137=Planilha1!#REF!,Planilha1!#REF!,"")</f>
        <v>#REF!</v>
      </c>
      <c r="D137" s="10" t="str">
        <f t="shared" si="5"/>
        <v>none</v>
      </c>
      <c r="E137" s="5" t="str">
        <f t="shared" si="4"/>
        <v/>
      </c>
    </row>
    <row r="138" spans="1:5" x14ac:dyDescent="0.3">
      <c r="A138" s="8">
        <v>44332</v>
      </c>
      <c r="C138" s="5" t="e">
        <f>IF(A138=Planilha1!#REF!,Planilha1!#REF!,"")</f>
        <v>#REF!</v>
      </c>
      <c r="D138" s="11" t="str">
        <f t="shared" si="5"/>
        <v>none</v>
      </c>
      <c r="E138" s="5" t="str">
        <f t="shared" si="4"/>
        <v>FERIADO</v>
      </c>
    </row>
    <row r="139" spans="1:5" x14ac:dyDescent="0.3">
      <c r="A139" s="7">
        <v>44333</v>
      </c>
      <c r="C139" s="5" t="e">
        <f>IF(A139=Planilha1!#REF!,Planilha1!#REF!,"")</f>
        <v>#REF!</v>
      </c>
      <c r="D139" s="10" t="str">
        <f t="shared" si="5"/>
        <v>none</v>
      </c>
      <c r="E139" s="5" t="str">
        <f t="shared" si="4"/>
        <v/>
      </c>
    </row>
    <row r="140" spans="1:5" x14ac:dyDescent="0.3">
      <c r="A140" s="8">
        <v>44334</v>
      </c>
      <c r="C140" s="5" t="e">
        <f>IF(A140=Planilha1!#REF!,Planilha1!#REF!,"")</f>
        <v>#REF!</v>
      </c>
      <c r="D140" s="11" t="str">
        <f t="shared" si="5"/>
        <v>none</v>
      </c>
      <c r="E140" s="5" t="str">
        <f t="shared" si="4"/>
        <v/>
      </c>
    </row>
    <row r="141" spans="1:5" x14ac:dyDescent="0.3">
      <c r="A141" s="7">
        <v>44335</v>
      </c>
      <c r="C141" s="5" t="e">
        <f>IF(A141=Planilha1!#REF!,Planilha1!#REF!,"")</f>
        <v>#REF!</v>
      </c>
      <c r="D141" s="10" t="str">
        <f t="shared" si="5"/>
        <v>none</v>
      </c>
      <c r="E141" s="5" t="str">
        <f t="shared" si="4"/>
        <v/>
      </c>
    </row>
    <row r="142" spans="1:5" x14ac:dyDescent="0.3">
      <c r="A142" s="8">
        <v>44336</v>
      </c>
      <c r="C142" s="5" t="e">
        <f>IF(A142=Planilha1!#REF!,Planilha1!#REF!,"")</f>
        <v>#REF!</v>
      </c>
      <c r="D142" s="11" t="str">
        <f t="shared" si="5"/>
        <v>none</v>
      </c>
      <c r="E142" s="5" t="str">
        <f t="shared" si="4"/>
        <v/>
      </c>
    </row>
    <row r="143" spans="1:5" x14ac:dyDescent="0.3">
      <c r="A143" s="7">
        <v>44337</v>
      </c>
      <c r="C143" s="5" t="e">
        <f>IF(A143=Planilha1!#REF!,Planilha1!#REF!,"")</f>
        <v>#REF!</v>
      </c>
      <c r="D143" s="10" t="str">
        <f t="shared" si="5"/>
        <v>none</v>
      </c>
      <c r="E143" s="5" t="str">
        <f t="shared" si="4"/>
        <v/>
      </c>
    </row>
    <row r="144" spans="1:5" x14ac:dyDescent="0.3">
      <c r="A144" s="8">
        <v>44338</v>
      </c>
      <c r="C144" s="5" t="e">
        <f>IF(A144=Planilha1!#REF!,Planilha1!#REF!,"")</f>
        <v>#REF!</v>
      </c>
      <c r="D144" s="11" t="str">
        <f t="shared" si="5"/>
        <v>none</v>
      </c>
      <c r="E144" s="5" t="str">
        <f t="shared" si="4"/>
        <v/>
      </c>
    </row>
    <row r="145" spans="1:5" x14ac:dyDescent="0.3">
      <c r="A145" s="7">
        <v>44339</v>
      </c>
      <c r="C145" s="5" t="e">
        <f>IF(A145=Planilha1!#REF!,Planilha1!#REF!,"")</f>
        <v>#REF!</v>
      </c>
      <c r="D145" s="10" t="str">
        <f t="shared" si="5"/>
        <v>none</v>
      </c>
      <c r="E145" s="5" t="str">
        <f t="shared" si="4"/>
        <v>FERIADO</v>
      </c>
    </row>
    <row r="146" spans="1:5" x14ac:dyDescent="0.3">
      <c r="A146" s="8">
        <v>44340</v>
      </c>
      <c r="C146" s="5" t="e">
        <f>IF(A146=Planilha1!#REF!,Planilha1!#REF!,"")</f>
        <v>#REF!</v>
      </c>
      <c r="D146" s="11" t="str">
        <f t="shared" si="5"/>
        <v>none</v>
      </c>
      <c r="E146" s="5" t="str">
        <f t="shared" si="4"/>
        <v/>
      </c>
    </row>
    <row r="147" spans="1:5" x14ac:dyDescent="0.3">
      <c r="A147" s="7">
        <v>44341</v>
      </c>
      <c r="C147" s="5" t="e">
        <f>IF(A147=Planilha1!#REF!,Planilha1!#REF!,"")</f>
        <v>#REF!</v>
      </c>
      <c r="D147" s="10" t="str">
        <f t="shared" si="5"/>
        <v>none</v>
      </c>
      <c r="E147" s="5" t="str">
        <f t="shared" si="4"/>
        <v/>
      </c>
    </row>
    <row r="148" spans="1:5" x14ac:dyDescent="0.3">
      <c r="A148" s="8">
        <v>44342</v>
      </c>
      <c r="C148" s="5" t="e">
        <f>IF(A148=Planilha1!#REF!,Planilha1!#REF!,"")</f>
        <v>#REF!</v>
      </c>
      <c r="D148" s="11" t="str">
        <f t="shared" si="5"/>
        <v>none</v>
      </c>
      <c r="E148" s="5" t="str">
        <f t="shared" si="4"/>
        <v/>
      </c>
    </row>
    <row r="149" spans="1:5" x14ac:dyDescent="0.3">
      <c r="A149" s="7">
        <v>44343</v>
      </c>
      <c r="C149" s="5" t="e">
        <f>IF(A149=Planilha1!#REF!,Planilha1!#REF!,"")</f>
        <v>#REF!</v>
      </c>
      <c r="D149" s="10" t="str">
        <f t="shared" si="5"/>
        <v>none</v>
      </c>
      <c r="E149" s="5" t="str">
        <f t="shared" si="4"/>
        <v/>
      </c>
    </row>
    <row r="150" spans="1:5" x14ac:dyDescent="0.3">
      <c r="A150" s="8">
        <v>44344</v>
      </c>
      <c r="C150" s="5" t="e">
        <f>IF(A150=Planilha1!#REF!,Planilha1!#REF!,"")</f>
        <v>#REF!</v>
      </c>
      <c r="D150" s="11" t="str">
        <f t="shared" si="5"/>
        <v>none</v>
      </c>
      <c r="E150" s="5" t="str">
        <f t="shared" si="4"/>
        <v/>
      </c>
    </row>
    <row r="151" spans="1:5" x14ac:dyDescent="0.3">
      <c r="A151" s="7">
        <v>44345</v>
      </c>
      <c r="C151" s="5" t="e">
        <f>IF(A151=Planilha1!#REF!,Planilha1!#REF!,"")</f>
        <v>#REF!</v>
      </c>
      <c r="D151" s="10" t="str">
        <f t="shared" si="5"/>
        <v>none</v>
      </c>
      <c r="E151" s="5" t="str">
        <f t="shared" si="4"/>
        <v/>
      </c>
    </row>
    <row r="152" spans="1:5" x14ac:dyDescent="0.3">
      <c r="A152" s="8">
        <v>44346</v>
      </c>
      <c r="C152" s="5" t="e">
        <f>IF(A152=Planilha1!#REF!,Planilha1!#REF!,"")</f>
        <v>#REF!</v>
      </c>
      <c r="D152" s="11" t="str">
        <f t="shared" si="5"/>
        <v>none</v>
      </c>
      <c r="E152" s="5" t="str">
        <f t="shared" si="4"/>
        <v>FERIADO</v>
      </c>
    </row>
    <row r="153" spans="1:5" x14ac:dyDescent="0.3">
      <c r="A153" s="7">
        <v>44347</v>
      </c>
      <c r="C153" s="5" t="e">
        <f>IF(A153=Planilha1!#REF!,Planilha1!#REF!,"")</f>
        <v>#REF!</v>
      </c>
      <c r="D153" s="10" t="str">
        <f t="shared" si="5"/>
        <v>none</v>
      </c>
      <c r="E153" s="5" t="str">
        <f t="shared" si="4"/>
        <v/>
      </c>
    </row>
    <row r="154" spans="1:5" x14ac:dyDescent="0.3">
      <c r="A154" s="8">
        <v>44348</v>
      </c>
      <c r="C154" s="5" t="e">
        <f>IF(A154=Planilha1!#REF!,Planilha1!#REF!,"")</f>
        <v>#REF!</v>
      </c>
      <c r="D154" s="11" t="str">
        <f t="shared" si="5"/>
        <v>none</v>
      </c>
      <c r="E154" s="5" t="str">
        <f t="shared" si="4"/>
        <v/>
      </c>
    </row>
    <row r="155" spans="1:5" x14ac:dyDescent="0.3">
      <c r="A155" s="7">
        <v>44349</v>
      </c>
      <c r="C155" s="5" t="e">
        <f>IF(A155=Planilha1!#REF!,Planilha1!#REF!,"")</f>
        <v>#REF!</v>
      </c>
      <c r="D155" s="10" t="str">
        <f t="shared" si="5"/>
        <v>none</v>
      </c>
      <c r="E155" s="5" t="str">
        <f t="shared" si="4"/>
        <v/>
      </c>
    </row>
    <row r="156" spans="1:5" x14ac:dyDescent="0.3">
      <c r="A156" s="8">
        <v>44350</v>
      </c>
      <c r="C156" s="5" t="e">
        <f>IF(A156=Planilha1!#REF!,Planilha1!#REF!,"")</f>
        <v>#REF!</v>
      </c>
      <c r="D156" s="11" t="str">
        <f t="shared" si="5"/>
        <v>none</v>
      </c>
      <c r="E156" s="5" t="str">
        <f t="shared" si="4"/>
        <v/>
      </c>
    </row>
    <row r="157" spans="1:5" x14ac:dyDescent="0.3">
      <c r="A157" s="7">
        <v>44351</v>
      </c>
      <c r="C157" s="5" t="e">
        <f>IF(A157=Planilha1!#REF!,Planilha1!#REF!,"")</f>
        <v>#REF!</v>
      </c>
      <c r="D157" s="10" t="str">
        <f t="shared" si="5"/>
        <v>none</v>
      </c>
      <c r="E157" s="5" t="str">
        <f t="shared" si="4"/>
        <v/>
      </c>
    </row>
    <row r="158" spans="1:5" x14ac:dyDescent="0.3">
      <c r="A158" s="8">
        <v>44352</v>
      </c>
      <c r="C158" s="5" t="e">
        <f>IF(A158=Planilha1!#REF!,Planilha1!#REF!,"")</f>
        <v>#REF!</v>
      </c>
      <c r="D158" s="11" t="str">
        <f t="shared" si="5"/>
        <v>none</v>
      </c>
      <c r="E158" s="5" t="str">
        <f t="shared" si="4"/>
        <v/>
      </c>
    </row>
    <row r="159" spans="1:5" x14ac:dyDescent="0.3">
      <c r="A159" s="7">
        <v>44353</v>
      </c>
      <c r="C159" s="5" t="e">
        <f>IF(A159=Planilha1!#REF!,Planilha1!#REF!,"")</f>
        <v>#REF!</v>
      </c>
      <c r="D159" s="10" t="str">
        <f t="shared" si="5"/>
        <v>none</v>
      </c>
      <c r="E159" s="5" t="str">
        <f t="shared" si="4"/>
        <v>FERIADO</v>
      </c>
    </row>
    <row r="160" spans="1:5" x14ac:dyDescent="0.3">
      <c r="A160" s="8">
        <v>44354</v>
      </c>
      <c r="C160" s="5" t="e">
        <f>IF(A160=Planilha1!#REF!,Planilha1!#REF!,"")</f>
        <v>#REF!</v>
      </c>
      <c r="D160" s="11" t="str">
        <f t="shared" si="5"/>
        <v>none</v>
      </c>
      <c r="E160" s="5" t="str">
        <f t="shared" si="4"/>
        <v/>
      </c>
    </row>
    <row r="161" spans="1:5" x14ac:dyDescent="0.3">
      <c r="A161" s="7">
        <v>44355</v>
      </c>
      <c r="C161" s="5" t="e">
        <f>IF(A161=Planilha1!#REF!,Planilha1!#REF!,"")</f>
        <v>#REF!</v>
      </c>
      <c r="D161" s="10" t="str">
        <f t="shared" si="5"/>
        <v>none</v>
      </c>
      <c r="E161" s="5" t="str">
        <f t="shared" si="4"/>
        <v/>
      </c>
    </row>
    <row r="162" spans="1:5" x14ac:dyDescent="0.3">
      <c r="A162" s="8">
        <v>44356</v>
      </c>
      <c r="C162" s="5" t="e">
        <f>IF(A162=Planilha1!#REF!,Planilha1!#REF!,"")</f>
        <v>#REF!</v>
      </c>
      <c r="D162" s="11" t="str">
        <f t="shared" si="5"/>
        <v>none</v>
      </c>
      <c r="E162" s="5" t="str">
        <f t="shared" si="4"/>
        <v/>
      </c>
    </row>
    <row r="163" spans="1:5" x14ac:dyDescent="0.3">
      <c r="A163" s="7">
        <v>44357</v>
      </c>
      <c r="C163" s="5" t="e">
        <f>IF(A163=Planilha1!#REF!,Planilha1!#REF!,"")</f>
        <v>#REF!</v>
      </c>
      <c r="D163" s="10" t="str">
        <f t="shared" si="5"/>
        <v>none</v>
      </c>
      <c r="E163" s="5" t="str">
        <f t="shared" si="4"/>
        <v/>
      </c>
    </row>
    <row r="164" spans="1:5" x14ac:dyDescent="0.3">
      <c r="A164" s="8">
        <v>44358</v>
      </c>
      <c r="C164" s="5" t="e">
        <f>IF(A164=Planilha1!#REF!,Planilha1!#REF!,"")</f>
        <v>#REF!</v>
      </c>
      <c r="D164" s="11" t="str">
        <f t="shared" si="5"/>
        <v>none</v>
      </c>
      <c r="E164" s="5" t="str">
        <f t="shared" si="4"/>
        <v/>
      </c>
    </row>
    <row r="165" spans="1:5" x14ac:dyDescent="0.3">
      <c r="A165" s="7">
        <v>44359</v>
      </c>
      <c r="C165" s="5" t="e">
        <f>IF(A165=Planilha1!#REF!,Planilha1!#REF!,"")</f>
        <v>#REF!</v>
      </c>
      <c r="D165" s="10" t="str">
        <f t="shared" si="5"/>
        <v>none</v>
      </c>
      <c r="E165" s="5" t="str">
        <f t="shared" si="4"/>
        <v/>
      </c>
    </row>
    <row r="166" spans="1:5" x14ac:dyDescent="0.3">
      <c r="A166" s="8">
        <v>44360</v>
      </c>
      <c r="C166" s="5" t="e">
        <f>IF(A166=Planilha1!#REF!,Planilha1!#REF!,"")</f>
        <v>#REF!</v>
      </c>
      <c r="D166" s="11" t="str">
        <f t="shared" si="5"/>
        <v>none</v>
      </c>
      <c r="E166" s="5" t="str">
        <f t="shared" si="4"/>
        <v>FERIADO</v>
      </c>
    </row>
    <row r="167" spans="1:5" x14ac:dyDescent="0.3">
      <c r="A167" s="7">
        <v>44361</v>
      </c>
      <c r="C167" s="5" t="e">
        <f>IF(A167=Planilha1!#REF!,Planilha1!#REF!,"")</f>
        <v>#REF!</v>
      </c>
      <c r="D167" s="10" t="str">
        <f t="shared" si="5"/>
        <v>none</v>
      </c>
      <c r="E167" s="5" t="str">
        <f t="shared" si="4"/>
        <v/>
      </c>
    </row>
    <row r="168" spans="1:5" x14ac:dyDescent="0.3">
      <c r="A168" s="8">
        <v>44362</v>
      </c>
      <c r="C168" s="5" t="e">
        <f>IF(A168=Planilha1!#REF!,Planilha1!#REF!,"")</f>
        <v>#REF!</v>
      </c>
      <c r="D168" s="11" t="str">
        <f t="shared" si="5"/>
        <v>none</v>
      </c>
      <c r="E168" s="5" t="str">
        <f t="shared" si="4"/>
        <v/>
      </c>
    </row>
    <row r="169" spans="1:5" x14ac:dyDescent="0.3">
      <c r="A169" s="7">
        <v>44363</v>
      </c>
      <c r="C169" s="5" t="e">
        <f>IF(A169=Planilha1!#REF!,Planilha1!#REF!,"")</f>
        <v>#REF!</v>
      </c>
      <c r="D169" s="10" t="str">
        <f t="shared" si="5"/>
        <v>none</v>
      </c>
      <c r="E169" s="5" t="str">
        <f t="shared" si="4"/>
        <v/>
      </c>
    </row>
    <row r="170" spans="1:5" x14ac:dyDescent="0.3">
      <c r="A170" s="8">
        <v>44364</v>
      </c>
      <c r="C170" s="5" t="e">
        <f>IF(A170=Planilha1!#REF!,Planilha1!#REF!,"")</f>
        <v>#REF!</v>
      </c>
      <c r="D170" s="11" t="str">
        <f t="shared" si="5"/>
        <v>none</v>
      </c>
      <c r="E170" s="5" t="str">
        <f t="shared" si="4"/>
        <v/>
      </c>
    </row>
    <row r="171" spans="1:5" x14ac:dyDescent="0.3">
      <c r="A171" s="7">
        <v>44365</v>
      </c>
      <c r="C171" s="5" t="e">
        <f>IF(A171=Planilha1!#REF!,Planilha1!#REF!,"")</f>
        <v>#REF!</v>
      </c>
      <c r="D171" s="10" t="str">
        <f t="shared" si="5"/>
        <v>none</v>
      </c>
      <c r="E171" s="5" t="str">
        <f t="shared" si="4"/>
        <v/>
      </c>
    </row>
    <row r="172" spans="1:5" x14ac:dyDescent="0.3">
      <c r="A172" s="8">
        <v>44366</v>
      </c>
      <c r="C172" s="5" t="e">
        <f>IF(A172=Planilha1!#REF!,Planilha1!#REF!,"")</f>
        <v>#REF!</v>
      </c>
      <c r="D172" s="11" t="str">
        <f t="shared" si="5"/>
        <v>none</v>
      </c>
      <c r="E172" s="5" t="str">
        <f t="shared" si="4"/>
        <v/>
      </c>
    </row>
    <row r="173" spans="1:5" x14ac:dyDescent="0.3">
      <c r="A173" s="7">
        <v>44367</v>
      </c>
      <c r="C173" s="5" t="e">
        <f>IF(A173=Planilha1!#REF!,Planilha1!#REF!,"")</f>
        <v>#REF!</v>
      </c>
      <c r="D173" s="10" t="str">
        <f t="shared" si="5"/>
        <v>none</v>
      </c>
      <c r="E173" s="5" t="str">
        <f t="shared" si="4"/>
        <v>FERIADO</v>
      </c>
    </row>
    <row r="174" spans="1:5" x14ac:dyDescent="0.3">
      <c r="A174" s="8">
        <v>44368</v>
      </c>
      <c r="C174" s="5" t="e">
        <f>IF(A174=Planilha1!#REF!,Planilha1!#REF!,"")</f>
        <v>#REF!</v>
      </c>
      <c r="D174" s="11" t="str">
        <f t="shared" si="5"/>
        <v>none</v>
      </c>
      <c r="E174" s="5" t="str">
        <f t="shared" si="4"/>
        <v/>
      </c>
    </row>
    <row r="175" spans="1:5" x14ac:dyDescent="0.3">
      <c r="A175" s="7">
        <v>44369</v>
      </c>
      <c r="C175" s="5" t="e">
        <f>IF(A175=Planilha1!#REF!,Planilha1!#REF!,"")</f>
        <v>#REF!</v>
      </c>
      <c r="D175" s="10" t="str">
        <f t="shared" si="5"/>
        <v>none</v>
      </c>
      <c r="E175" s="5" t="str">
        <f t="shared" si="4"/>
        <v/>
      </c>
    </row>
    <row r="176" spans="1:5" x14ac:dyDescent="0.3">
      <c r="A176" s="8">
        <v>44370</v>
      </c>
      <c r="C176" s="5" t="e">
        <f>IF(A176=Planilha1!#REF!,Planilha1!#REF!,"")</f>
        <v>#REF!</v>
      </c>
      <c r="D176" s="11" t="str">
        <f t="shared" si="5"/>
        <v>none</v>
      </c>
      <c r="E176" s="5" t="str">
        <f t="shared" si="4"/>
        <v/>
      </c>
    </row>
    <row r="177" spans="1:5" x14ac:dyDescent="0.3">
      <c r="A177" s="7">
        <v>44371</v>
      </c>
      <c r="C177" s="5" t="e">
        <f>IF(A177=Planilha1!#REF!,Planilha1!#REF!,"")</f>
        <v>#REF!</v>
      </c>
      <c r="D177" s="10" t="str">
        <f t="shared" si="5"/>
        <v>none</v>
      </c>
      <c r="E177" s="5" t="str">
        <f t="shared" si="4"/>
        <v/>
      </c>
    </row>
    <row r="178" spans="1:5" x14ac:dyDescent="0.3">
      <c r="A178" s="8">
        <v>44372</v>
      </c>
      <c r="C178" s="5" t="e">
        <f>IF(A178=Planilha1!#REF!,Planilha1!#REF!,"")</f>
        <v>#REF!</v>
      </c>
      <c r="D178" s="11" t="str">
        <f t="shared" si="5"/>
        <v>none</v>
      </c>
      <c r="E178" s="5" t="str">
        <f t="shared" si="4"/>
        <v/>
      </c>
    </row>
    <row r="179" spans="1:5" x14ac:dyDescent="0.3">
      <c r="A179" s="7">
        <v>44373</v>
      </c>
      <c r="C179" s="5" t="e">
        <f>IF(A179=Planilha1!#REF!,Planilha1!#REF!,"")</f>
        <v>#REF!</v>
      </c>
      <c r="D179" s="10" t="str">
        <f t="shared" si="5"/>
        <v>none</v>
      </c>
      <c r="E179" s="5" t="str">
        <f t="shared" si="4"/>
        <v/>
      </c>
    </row>
    <row r="180" spans="1:5" x14ac:dyDescent="0.3">
      <c r="A180" s="8">
        <v>44374</v>
      </c>
      <c r="C180" s="5" t="e">
        <f>IF(A180=Planilha1!#REF!,Planilha1!#REF!,"")</f>
        <v>#REF!</v>
      </c>
      <c r="D180" s="11" t="str">
        <f t="shared" si="5"/>
        <v>none</v>
      </c>
      <c r="E180" s="5" t="str">
        <f t="shared" si="4"/>
        <v>FERIADO</v>
      </c>
    </row>
    <row r="181" spans="1:5" x14ac:dyDescent="0.3">
      <c r="A181" s="7">
        <v>44375</v>
      </c>
      <c r="C181" s="5" t="e">
        <f>IF(A181=Planilha1!#REF!,Planilha1!#REF!,"")</f>
        <v>#REF!</v>
      </c>
      <c r="D181" s="10" t="str">
        <f t="shared" si="5"/>
        <v>none</v>
      </c>
      <c r="E181" s="5" t="str">
        <f t="shared" si="4"/>
        <v/>
      </c>
    </row>
    <row r="182" spans="1:5" x14ac:dyDescent="0.3">
      <c r="A182" s="8">
        <v>44376</v>
      </c>
      <c r="C182" s="5" t="e">
        <f>IF(A182=Planilha1!#REF!,Planilha1!#REF!,"")</f>
        <v>#REF!</v>
      </c>
      <c r="D182" s="11" t="str">
        <f t="shared" si="5"/>
        <v>none</v>
      </c>
      <c r="E182" s="5" t="str">
        <f t="shared" si="4"/>
        <v/>
      </c>
    </row>
    <row r="183" spans="1:5" x14ac:dyDescent="0.3">
      <c r="A183" s="7">
        <v>44377</v>
      </c>
      <c r="C183" s="5" t="e">
        <f>IF(A183=Planilha1!#REF!,Planilha1!#REF!,"")</f>
        <v>#REF!</v>
      </c>
      <c r="D183" s="10" t="str">
        <f t="shared" si="5"/>
        <v>none</v>
      </c>
      <c r="E183" s="5" t="str">
        <f t="shared" si="4"/>
        <v/>
      </c>
    </row>
    <row r="184" spans="1:5" x14ac:dyDescent="0.3">
      <c r="A184" s="8">
        <v>44378</v>
      </c>
      <c r="C184" s="5" t="e">
        <f>IF(A184=Planilha1!#REF!,Planilha1!#REF!,"")</f>
        <v>#REF!</v>
      </c>
      <c r="D184" s="11" t="str">
        <f t="shared" si="5"/>
        <v>none</v>
      </c>
      <c r="E184" s="5" t="str">
        <f t="shared" si="4"/>
        <v/>
      </c>
    </row>
    <row r="185" spans="1:5" x14ac:dyDescent="0.3">
      <c r="A185" s="7">
        <v>44379</v>
      </c>
      <c r="C185" s="5" t="e">
        <f>IF(A185=Planilha1!#REF!,Planilha1!#REF!,"")</f>
        <v>#REF!</v>
      </c>
      <c r="D185" s="10" t="str">
        <f t="shared" si="5"/>
        <v>none</v>
      </c>
      <c r="E185" s="5" t="str">
        <f t="shared" si="4"/>
        <v/>
      </c>
    </row>
    <row r="186" spans="1:5" x14ac:dyDescent="0.3">
      <c r="A186" s="8">
        <v>44380</v>
      </c>
      <c r="C186" s="5" t="e">
        <f>IF(A186=Planilha1!#REF!,Planilha1!#REF!,"")</f>
        <v>#REF!</v>
      </c>
      <c r="D186" s="11" t="str">
        <f t="shared" si="5"/>
        <v>none</v>
      </c>
      <c r="E186" s="5" t="str">
        <f t="shared" si="4"/>
        <v/>
      </c>
    </row>
    <row r="187" spans="1:5" x14ac:dyDescent="0.3">
      <c r="A187" s="7">
        <v>44381</v>
      </c>
      <c r="C187" s="5" t="e">
        <f>IF(A187=Planilha1!#REF!,Planilha1!#REF!,"")</f>
        <v>#REF!</v>
      </c>
      <c r="D187" s="10" t="str">
        <f t="shared" si="5"/>
        <v>none</v>
      </c>
      <c r="E187" s="5" t="str">
        <f t="shared" si="4"/>
        <v>FERIADO</v>
      </c>
    </row>
    <row r="188" spans="1:5" x14ac:dyDescent="0.3">
      <c r="A188" s="8">
        <v>44382</v>
      </c>
      <c r="C188" s="5" t="e">
        <f>IF(A188=Planilha1!#REF!,Planilha1!#REF!,"")</f>
        <v>#REF!</v>
      </c>
      <c r="D188" s="11" t="str">
        <f t="shared" si="5"/>
        <v>none</v>
      </c>
      <c r="E188" s="5" t="str">
        <f t="shared" si="4"/>
        <v/>
      </c>
    </row>
    <row r="189" spans="1:5" x14ac:dyDescent="0.3">
      <c r="A189" s="7">
        <v>44383</v>
      </c>
      <c r="C189" s="5" t="e">
        <f>IF(A189=Planilha1!#REF!,Planilha1!#REF!,"")</f>
        <v>#REF!</v>
      </c>
      <c r="D189" s="10" t="str">
        <f t="shared" si="5"/>
        <v>none</v>
      </c>
      <c r="E189" s="5" t="str">
        <f t="shared" si="4"/>
        <v/>
      </c>
    </row>
    <row r="190" spans="1:5" x14ac:dyDescent="0.3">
      <c r="A190" s="8">
        <v>44384</v>
      </c>
      <c r="C190" s="5" t="e">
        <f>IF(A190=Planilha1!#REF!,Planilha1!#REF!,"")</f>
        <v>#REF!</v>
      </c>
      <c r="D190" s="11" t="str">
        <f t="shared" si="5"/>
        <v>none</v>
      </c>
      <c r="E190" s="5" t="str">
        <f t="shared" si="4"/>
        <v/>
      </c>
    </row>
    <row r="191" spans="1:5" x14ac:dyDescent="0.3">
      <c r="A191" s="7">
        <v>44385</v>
      </c>
      <c r="C191" s="5" t="e">
        <f>IF(A191=Planilha1!#REF!,Planilha1!#REF!,"")</f>
        <v>#REF!</v>
      </c>
      <c r="D191" s="10" t="str">
        <f t="shared" si="5"/>
        <v>none</v>
      </c>
      <c r="E191" s="5" t="str">
        <f t="shared" si="4"/>
        <v/>
      </c>
    </row>
    <row r="192" spans="1:5" x14ac:dyDescent="0.3">
      <c r="A192" s="8">
        <v>44386</v>
      </c>
      <c r="C192" s="5" t="e">
        <f>IF(A192=Planilha1!#REF!,Planilha1!#REF!,"")</f>
        <v>#REF!</v>
      </c>
      <c r="D192" s="11" t="str">
        <f t="shared" si="5"/>
        <v>none</v>
      </c>
      <c r="E192" s="5" t="str">
        <f t="shared" si="4"/>
        <v/>
      </c>
    </row>
    <row r="193" spans="1:5" x14ac:dyDescent="0.3">
      <c r="A193" s="7">
        <v>44387</v>
      </c>
      <c r="C193" s="5" t="e">
        <f>IF(A193=Planilha1!#REF!,Planilha1!#REF!,"")</f>
        <v>#REF!</v>
      </c>
      <c r="D193" s="10" t="str">
        <f t="shared" si="5"/>
        <v>none</v>
      </c>
      <c r="E193" s="5" t="str">
        <f t="shared" si="4"/>
        <v/>
      </c>
    </row>
    <row r="194" spans="1:5" x14ac:dyDescent="0.3">
      <c r="A194" s="8">
        <v>44388</v>
      </c>
      <c r="C194" s="5" t="e">
        <f>IF(A194=Planilha1!#REF!,Planilha1!#REF!,"")</f>
        <v>#REF!</v>
      </c>
      <c r="D194" s="11" t="str">
        <f t="shared" si="5"/>
        <v>none</v>
      </c>
      <c r="E194" s="5" t="str">
        <f t="shared" si="4"/>
        <v>FERIADO</v>
      </c>
    </row>
    <row r="195" spans="1:5" x14ac:dyDescent="0.3">
      <c r="A195" s="7">
        <v>44389</v>
      </c>
      <c r="C195" s="5" t="e">
        <f>IF(A195=Planilha1!#REF!,Planilha1!#REF!,"")</f>
        <v>#REF!</v>
      </c>
      <c r="D195" s="10" t="str">
        <f t="shared" si="5"/>
        <v>none</v>
      </c>
      <c r="E195" s="5" t="str">
        <f t="shared" si="4"/>
        <v/>
      </c>
    </row>
    <row r="196" spans="1:5" x14ac:dyDescent="0.3">
      <c r="A196" s="8">
        <v>44390</v>
      </c>
      <c r="C196" s="5" t="e">
        <f>IF(A196=Planilha1!#REF!,Planilha1!#REF!,"")</f>
        <v>#REF!</v>
      </c>
      <c r="D196" s="11" t="str">
        <f t="shared" si="5"/>
        <v>none</v>
      </c>
      <c r="E196" s="5" t="str">
        <f t="shared" ref="E196:E259" si="6">IF(WEEKDAY(A196,1)=1,"FERIADO","")</f>
        <v/>
      </c>
    </row>
    <row r="197" spans="1:5" x14ac:dyDescent="0.3">
      <c r="A197" s="7">
        <v>44391</v>
      </c>
      <c r="C197" s="5" t="e">
        <f>IF(A197=Planilha1!#REF!,Planilha1!#REF!,"")</f>
        <v>#REF!</v>
      </c>
      <c r="D197" s="10" t="str">
        <f t="shared" ref="D197:D260" si="7">IF(B197=$K$3,0,IF(B197=$K$4,1,IF(B197=$K$5,"-","none")))</f>
        <v>none</v>
      </c>
      <c r="E197" s="5" t="str">
        <f t="shared" si="6"/>
        <v/>
      </c>
    </row>
    <row r="198" spans="1:5" x14ac:dyDescent="0.3">
      <c r="A198" s="8">
        <v>44392</v>
      </c>
      <c r="C198" s="5" t="e">
        <f>IF(A198=Planilha1!#REF!,Planilha1!#REF!,"")</f>
        <v>#REF!</v>
      </c>
      <c r="D198" s="11" t="str">
        <f t="shared" si="7"/>
        <v>none</v>
      </c>
      <c r="E198" s="5" t="str">
        <f t="shared" si="6"/>
        <v/>
      </c>
    </row>
    <row r="199" spans="1:5" x14ac:dyDescent="0.3">
      <c r="A199" s="7">
        <v>44393</v>
      </c>
      <c r="C199" s="5" t="e">
        <f>IF(A199=Planilha1!#REF!,Planilha1!#REF!,"")</f>
        <v>#REF!</v>
      </c>
      <c r="D199" s="10" t="str">
        <f t="shared" si="7"/>
        <v>none</v>
      </c>
      <c r="E199" s="5" t="str">
        <f t="shared" si="6"/>
        <v/>
      </c>
    </row>
    <row r="200" spans="1:5" x14ac:dyDescent="0.3">
      <c r="A200" s="8">
        <v>44394</v>
      </c>
      <c r="C200" s="5" t="e">
        <f>IF(A200=Planilha1!#REF!,Planilha1!#REF!,"")</f>
        <v>#REF!</v>
      </c>
      <c r="D200" s="11" t="str">
        <f t="shared" si="7"/>
        <v>none</v>
      </c>
      <c r="E200" s="5" t="str">
        <f t="shared" si="6"/>
        <v/>
      </c>
    </row>
    <row r="201" spans="1:5" x14ac:dyDescent="0.3">
      <c r="A201" s="7">
        <v>44395</v>
      </c>
      <c r="C201" s="5" t="e">
        <f>IF(A201=Planilha1!#REF!,Planilha1!#REF!,"")</f>
        <v>#REF!</v>
      </c>
      <c r="D201" s="10" t="str">
        <f t="shared" si="7"/>
        <v>none</v>
      </c>
      <c r="E201" s="5" t="str">
        <f t="shared" si="6"/>
        <v>FERIADO</v>
      </c>
    </row>
    <row r="202" spans="1:5" x14ac:dyDescent="0.3">
      <c r="A202" s="8">
        <v>44396</v>
      </c>
      <c r="C202" s="5" t="e">
        <f>IF(A202=Planilha1!#REF!,Planilha1!#REF!,"")</f>
        <v>#REF!</v>
      </c>
      <c r="D202" s="11" t="str">
        <f t="shared" si="7"/>
        <v>none</v>
      </c>
      <c r="E202" s="5" t="str">
        <f t="shared" si="6"/>
        <v/>
      </c>
    </row>
    <row r="203" spans="1:5" x14ac:dyDescent="0.3">
      <c r="A203" s="7">
        <v>44397</v>
      </c>
      <c r="C203" s="5" t="e">
        <f>IF(A203=Planilha1!#REF!,Planilha1!#REF!,"")</f>
        <v>#REF!</v>
      </c>
      <c r="D203" s="10" t="str">
        <f t="shared" si="7"/>
        <v>none</v>
      </c>
      <c r="E203" s="5" t="str">
        <f t="shared" si="6"/>
        <v/>
      </c>
    </row>
    <row r="204" spans="1:5" x14ac:dyDescent="0.3">
      <c r="A204" s="8">
        <v>44398</v>
      </c>
      <c r="C204" s="5" t="e">
        <f>IF(A204=Planilha1!#REF!,Planilha1!#REF!,"")</f>
        <v>#REF!</v>
      </c>
      <c r="D204" s="11" t="str">
        <f t="shared" si="7"/>
        <v>none</v>
      </c>
      <c r="E204" s="5" t="str">
        <f t="shared" si="6"/>
        <v/>
      </c>
    </row>
    <row r="205" spans="1:5" x14ac:dyDescent="0.3">
      <c r="A205" s="7">
        <v>44399</v>
      </c>
      <c r="C205" s="5" t="e">
        <f>IF(A205=Planilha1!#REF!,Planilha1!#REF!,"")</f>
        <v>#REF!</v>
      </c>
      <c r="D205" s="10" t="str">
        <f t="shared" si="7"/>
        <v>none</v>
      </c>
      <c r="E205" s="5" t="str">
        <f t="shared" si="6"/>
        <v/>
      </c>
    </row>
    <row r="206" spans="1:5" x14ac:dyDescent="0.3">
      <c r="A206" s="8">
        <v>44400</v>
      </c>
      <c r="C206" s="5" t="e">
        <f>IF(A206=Planilha1!#REF!,Planilha1!#REF!,"")</f>
        <v>#REF!</v>
      </c>
      <c r="D206" s="11" t="str">
        <f t="shared" si="7"/>
        <v>none</v>
      </c>
      <c r="E206" s="5" t="str">
        <f t="shared" si="6"/>
        <v/>
      </c>
    </row>
    <row r="207" spans="1:5" x14ac:dyDescent="0.3">
      <c r="A207" s="7">
        <v>44401</v>
      </c>
      <c r="C207" s="5" t="e">
        <f>IF(A207=Planilha1!#REF!,Planilha1!#REF!,"")</f>
        <v>#REF!</v>
      </c>
      <c r="D207" s="10" t="str">
        <f t="shared" si="7"/>
        <v>none</v>
      </c>
      <c r="E207" s="5" t="str">
        <f t="shared" si="6"/>
        <v/>
      </c>
    </row>
    <row r="208" spans="1:5" x14ac:dyDescent="0.3">
      <c r="A208" s="8">
        <v>44402</v>
      </c>
      <c r="C208" s="5" t="e">
        <f>IF(A208=Planilha1!#REF!,Planilha1!#REF!,"")</f>
        <v>#REF!</v>
      </c>
      <c r="D208" s="11" t="str">
        <f t="shared" si="7"/>
        <v>none</v>
      </c>
      <c r="E208" s="5" t="str">
        <f t="shared" si="6"/>
        <v>FERIADO</v>
      </c>
    </row>
    <row r="209" spans="1:5" x14ac:dyDescent="0.3">
      <c r="A209" s="7">
        <v>44403</v>
      </c>
      <c r="C209" s="5" t="e">
        <f>IF(A209=Planilha1!#REF!,Planilha1!#REF!,"")</f>
        <v>#REF!</v>
      </c>
      <c r="D209" s="10" t="str">
        <f t="shared" si="7"/>
        <v>none</v>
      </c>
      <c r="E209" s="5" t="str">
        <f t="shared" si="6"/>
        <v/>
      </c>
    </row>
    <row r="210" spans="1:5" x14ac:dyDescent="0.3">
      <c r="A210" s="8">
        <v>44404</v>
      </c>
      <c r="C210" s="5" t="e">
        <f>IF(A210=Planilha1!#REF!,Planilha1!#REF!,"")</f>
        <v>#REF!</v>
      </c>
      <c r="D210" s="11" t="str">
        <f t="shared" si="7"/>
        <v>none</v>
      </c>
      <c r="E210" s="5" t="str">
        <f t="shared" si="6"/>
        <v/>
      </c>
    </row>
    <row r="211" spans="1:5" x14ac:dyDescent="0.3">
      <c r="A211" s="7">
        <v>44405</v>
      </c>
      <c r="C211" s="5" t="e">
        <f>IF(A211=Planilha1!#REF!,Planilha1!#REF!,"")</f>
        <v>#REF!</v>
      </c>
      <c r="D211" s="10" t="str">
        <f t="shared" si="7"/>
        <v>none</v>
      </c>
      <c r="E211" s="5" t="str">
        <f t="shared" si="6"/>
        <v/>
      </c>
    </row>
    <row r="212" spans="1:5" x14ac:dyDescent="0.3">
      <c r="A212" s="8">
        <v>44406</v>
      </c>
      <c r="C212" s="5" t="e">
        <f>IF(A212=Planilha1!#REF!,Planilha1!#REF!,"")</f>
        <v>#REF!</v>
      </c>
      <c r="D212" s="11" t="str">
        <f t="shared" si="7"/>
        <v>none</v>
      </c>
      <c r="E212" s="5" t="str">
        <f t="shared" si="6"/>
        <v/>
      </c>
    </row>
    <row r="213" spans="1:5" x14ac:dyDescent="0.3">
      <c r="A213" s="7">
        <v>44407</v>
      </c>
      <c r="C213" s="5" t="e">
        <f>IF(A213=Planilha1!#REF!,Planilha1!#REF!,"")</f>
        <v>#REF!</v>
      </c>
      <c r="D213" s="10" t="str">
        <f t="shared" si="7"/>
        <v>none</v>
      </c>
      <c r="E213" s="5" t="str">
        <f t="shared" si="6"/>
        <v/>
      </c>
    </row>
    <row r="214" spans="1:5" x14ac:dyDescent="0.3">
      <c r="A214" s="8">
        <v>44408</v>
      </c>
      <c r="C214" s="5" t="e">
        <f>IF(A214=Planilha1!#REF!,Planilha1!#REF!,"")</f>
        <v>#REF!</v>
      </c>
      <c r="D214" s="11" t="str">
        <f t="shared" si="7"/>
        <v>none</v>
      </c>
      <c r="E214" s="5" t="str">
        <f t="shared" si="6"/>
        <v/>
      </c>
    </row>
    <row r="215" spans="1:5" x14ac:dyDescent="0.3">
      <c r="A215" s="7">
        <v>44409</v>
      </c>
      <c r="C215" s="5" t="e">
        <f>IF(A215=Planilha1!#REF!,Planilha1!#REF!,"")</f>
        <v>#REF!</v>
      </c>
      <c r="D215" s="10" t="str">
        <f t="shared" si="7"/>
        <v>none</v>
      </c>
      <c r="E215" s="5" t="str">
        <f t="shared" si="6"/>
        <v>FERIADO</v>
      </c>
    </row>
    <row r="216" spans="1:5" x14ac:dyDescent="0.3">
      <c r="A216" s="8">
        <v>44410</v>
      </c>
      <c r="C216" s="5" t="e">
        <f>IF(A216=Planilha1!#REF!,Planilha1!#REF!,"")</f>
        <v>#REF!</v>
      </c>
      <c r="D216" s="11" t="str">
        <f t="shared" si="7"/>
        <v>none</v>
      </c>
      <c r="E216" s="5" t="str">
        <f t="shared" si="6"/>
        <v/>
      </c>
    </row>
    <row r="217" spans="1:5" x14ac:dyDescent="0.3">
      <c r="A217" s="7">
        <v>44411</v>
      </c>
      <c r="C217" s="5" t="e">
        <f>IF(A217=Planilha1!#REF!,Planilha1!#REF!,"")</f>
        <v>#REF!</v>
      </c>
      <c r="D217" s="10" t="str">
        <f t="shared" si="7"/>
        <v>none</v>
      </c>
      <c r="E217" s="5" t="str">
        <f t="shared" si="6"/>
        <v/>
      </c>
    </row>
    <row r="218" spans="1:5" x14ac:dyDescent="0.3">
      <c r="A218" s="8">
        <v>44412</v>
      </c>
      <c r="C218" s="5" t="e">
        <f>IF(A218=Planilha1!#REF!,Planilha1!#REF!,"")</f>
        <v>#REF!</v>
      </c>
      <c r="D218" s="11" t="str">
        <f t="shared" si="7"/>
        <v>none</v>
      </c>
      <c r="E218" s="5" t="str">
        <f t="shared" si="6"/>
        <v/>
      </c>
    </row>
    <row r="219" spans="1:5" x14ac:dyDescent="0.3">
      <c r="A219" s="7">
        <v>44413</v>
      </c>
      <c r="C219" s="5" t="e">
        <f>IF(A219=Planilha1!#REF!,Planilha1!#REF!,"")</f>
        <v>#REF!</v>
      </c>
      <c r="D219" s="10" t="str">
        <f t="shared" si="7"/>
        <v>none</v>
      </c>
      <c r="E219" s="5" t="str">
        <f t="shared" si="6"/>
        <v/>
      </c>
    </row>
    <row r="220" spans="1:5" x14ac:dyDescent="0.3">
      <c r="A220" s="8">
        <v>44414</v>
      </c>
      <c r="C220" s="5" t="e">
        <f>IF(A220=Planilha1!#REF!,Planilha1!#REF!,"")</f>
        <v>#REF!</v>
      </c>
      <c r="D220" s="11" t="str">
        <f t="shared" si="7"/>
        <v>none</v>
      </c>
      <c r="E220" s="5" t="str">
        <f t="shared" si="6"/>
        <v/>
      </c>
    </row>
    <row r="221" spans="1:5" x14ac:dyDescent="0.3">
      <c r="A221" s="7">
        <v>44415</v>
      </c>
      <c r="C221" s="5" t="e">
        <f>IF(A221=Planilha1!#REF!,Planilha1!#REF!,"")</f>
        <v>#REF!</v>
      </c>
      <c r="D221" s="10" t="str">
        <f t="shared" si="7"/>
        <v>none</v>
      </c>
      <c r="E221" s="5" t="str">
        <f t="shared" si="6"/>
        <v/>
      </c>
    </row>
    <row r="222" spans="1:5" x14ac:dyDescent="0.3">
      <c r="A222" s="8">
        <v>44416</v>
      </c>
      <c r="C222" s="5" t="e">
        <f>IF(A222=Planilha1!#REF!,Planilha1!#REF!,"")</f>
        <v>#REF!</v>
      </c>
      <c r="D222" s="11" t="str">
        <f t="shared" si="7"/>
        <v>none</v>
      </c>
      <c r="E222" s="5" t="str">
        <f t="shared" si="6"/>
        <v>FERIADO</v>
      </c>
    </row>
    <row r="223" spans="1:5" x14ac:dyDescent="0.3">
      <c r="A223" s="7">
        <v>44417</v>
      </c>
      <c r="C223" s="5" t="e">
        <f>IF(A223=Planilha1!#REF!,Planilha1!#REF!,"")</f>
        <v>#REF!</v>
      </c>
      <c r="D223" s="10" t="str">
        <f t="shared" si="7"/>
        <v>none</v>
      </c>
      <c r="E223" s="5" t="str">
        <f t="shared" si="6"/>
        <v/>
      </c>
    </row>
    <row r="224" spans="1:5" x14ac:dyDescent="0.3">
      <c r="A224" s="8">
        <v>44418</v>
      </c>
      <c r="C224" s="5" t="e">
        <f>IF(A224=Planilha1!#REF!,Planilha1!#REF!,"")</f>
        <v>#REF!</v>
      </c>
      <c r="D224" s="11" t="str">
        <f t="shared" si="7"/>
        <v>none</v>
      </c>
      <c r="E224" s="5" t="str">
        <f t="shared" si="6"/>
        <v/>
      </c>
    </row>
    <row r="225" spans="1:5" x14ac:dyDescent="0.3">
      <c r="A225" s="7">
        <v>44419</v>
      </c>
      <c r="C225" s="5" t="e">
        <f>IF(A225=Planilha1!#REF!,Planilha1!#REF!,"")</f>
        <v>#REF!</v>
      </c>
      <c r="D225" s="10" t="str">
        <f t="shared" si="7"/>
        <v>none</v>
      </c>
      <c r="E225" s="5" t="str">
        <f t="shared" si="6"/>
        <v/>
      </c>
    </row>
    <row r="226" spans="1:5" x14ac:dyDescent="0.3">
      <c r="A226" s="8">
        <v>44420</v>
      </c>
      <c r="C226" s="5" t="e">
        <f>IF(A226=Planilha1!#REF!,Planilha1!#REF!,"")</f>
        <v>#REF!</v>
      </c>
      <c r="D226" s="11" t="str">
        <f t="shared" si="7"/>
        <v>none</v>
      </c>
      <c r="E226" s="5" t="str">
        <f t="shared" si="6"/>
        <v/>
      </c>
    </row>
    <row r="227" spans="1:5" x14ac:dyDescent="0.3">
      <c r="A227" s="7">
        <v>44421</v>
      </c>
      <c r="C227" s="5" t="e">
        <f>IF(A227=Planilha1!#REF!,Planilha1!#REF!,"")</f>
        <v>#REF!</v>
      </c>
      <c r="D227" s="10" t="str">
        <f t="shared" si="7"/>
        <v>none</v>
      </c>
      <c r="E227" s="5" t="str">
        <f t="shared" si="6"/>
        <v/>
      </c>
    </row>
    <row r="228" spans="1:5" x14ac:dyDescent="0.3">
      <c r="A228" s="8">
        <v>44422</v>
      </c>
      <c r="C228" s="5" t="e">
        <f>IF(A228=Planilha1!#REF!,Planilha1!#REF!,"")</f>
        <v>#REF!</v>
      </c>
      <c r="D228" s="11" t="str">
        <f t="shared" si="7"/>
        <v>none</v>
      </c>
      <c r="E228" s="5" t="str">
        <f t="shared" si="6"/>
        <v/>
      </c>
    </row>
    <row r="229" spans="1:5" x14ac:dyDescent="0.3">
      <c r="A229" s="7">
        <v>44423</v>
      </c>
      <c r="C229" s="5" t="e">
        <f>IF(A229=Planilha1!#REF!,Planilha1!#REF!,"")</f>
        <v>#REF!</v>
      </c>
      <c r="D229" s="10" t="str">
        <f t="shared" si="7"/>
        <v>none</v>
      </c>
      <c r="E229" s="5" t="str">
        <f t="shared" si="6"/>
        <v>FERIADO</v>
      </c>
    </row>
    <row r="230" spans="1:5" x14ac:dyDescent="0.3">
      <c r="A230" s="8">
        <v>44424</v>
      </c>
      <c r="C230" s="5" t="e">
        <f>IF(A230=Planilha1!#REF!,Planilha1!#REF!,"")</f>
        <v>#REF!</v>
      </c>
      <c r="D230" s="11" t="str">
        <f t="shared" si="7"/>
        <v>none</v>
      </c>
      <c r="E230" s="5" t="str">
        <f t="shared" si="6"/>
        <v/>
      </c>
    </row>
    <row r="231" spans="1:5" x14ac:dyDescent="0.3">
      <c r="A231" s="7">
        <v>44425</v>
      </c>
      <c r="C231" s="5" t="e">
        <f>IF(A231=Planilha1!#REF!,Planilha1!#REF!,"")</f>
        <v>#REF!</v>
      </c>
      <c r="D231" s="10" t="str">
        <f t="shared" si="7"/>
        <v>none</v>
      </c>
      <c r="E231" s="5" t="str">
        <f t="shared" si="6"/>
        <v/>
      </c>
    </row>
    <row r="232" spans="1:5" x14ac:dyDescent="0.3">
      <c r="A232" s="8">
        <v>44426</v>
      </c>
      <c r="C232" s="5" t="e">
        <f>IF(A232=Planilha1!#REF!,Planilha1!#REF!,"")</f>
        <v>#REF!</v>
      </c>
      <c r="D232" s="11" t="str">
        <f t="shared" si="7"/>
        <v>none</v>
      </c>
      <c r="E232" s="5" t="str">
        <f t="shared" si="6"/>
        <v/>
      </c>
    </row>
    <row r="233" spans="1:5" x14ac:dyDescent="0.3">
      <c r="A233" s="7">
        <v>44427</v>
      </c>
      <c r="C233" s="5" t="e">
        <f>IF(A233=Planilha1!#REF!,Planilha1!#REF!,"")</f>
        <v>#REF!</v>
      </c>
      <c r="D233" s="10" t="str">
        <f t="shared" si="7"/>
        <v>none</v>
      </c>
      <c r="E233" s="5" t="str">
        <f t="shared" si="6"/>
        <v/>
      </c>
    </row>
    <row r="234" spans="1:5" x14ac:dyDescent="0.3">
      <c r="A234" s="8">
        <v>44428</v>
      </c>
      <c r="C234" s="5" t="e">
        <f>IF(A234=Planilha1!#REF!,Planilha1!#REF!,"")</f>
        <v>#REF!</v>
      </c>
      <c r="D234" s="11" t="str">
        <f t="shared" si="7"/>
        <v>none</v>
      </c>
      <c r="E234" s="5" t="str">
        <f t="shared" si="6"/>
        <v/>
      </c>
    </row>
    <row r="235" spans="1:5" x14ac:dyDescent="0.3">
      <c r="A235" s="7">
        <v>44429</v>
      </c>
      <c r="C235" s="5" t="e">
        <f>IF(A235=Planilha1!#REF!,Planilha1!#REF!,"")</f>
        <v>#REF!</v>
      </c>
      <c r="D235" s="10" t="str">
        <f t="shared" si="7"/>
        <v>none</v>
      </c>
      <c r="E235" s="5" t="str">
        <f t="shared" si="6"/>
        <v/>
      </c>
    </row>
    <row r="236" spans="1:5" x14ac:dyDescent="0.3">
      <c r="A236" s="8">
        <v>44430</v>
      </c>
      <c r="C236" s="5" t="e">
        <f>IF(A236=Planilha1!#REF!,Planilha1!#REF!,"")</f>
        <v>#REF!</v>
      </c>
      <c r="D236" s="11" t="str">
        <f t="shared" si="7"/>
        <v>none</v>
      </c>
      <c r="E236" s="5" t="str">
        <f t="shared" si="6"/>
        <v>FERIADO</v>
      </c>
    </row>
    <row r="237" spans="1:5" x14ac:dyDescent="0.3">
      <c r="A237" s="7">
        <v>44431</v>
      </c>
      <c r="C237" s="5" t="e">
        <f>IF(A237=Planilha1!#REF!,Planilha1!#REF!,"")</f>
        <v>#REF!</v>
      </c>
      <c r="D237" s="10" t="str">
        <f t="shared" si="7"/>
        <v>none</v>
      </c>
      <c r="E237" s="5" t="str">
        <f t="shared" si="6"/>
        <v/>
      </c>
    </row>
    <row r="238" spans="1:5" x14ac:dyDescent="0.3">
      <c r="A238" s="8">
        <v>44432</v>
      </c>
      <c r="C238" s="5" t="e">
        <f>IF(A238=Planilha1!#REF!,Planilha1!#REF!,"")</f>
        <v>#REF!</v>
      </c>
      <c r="D238" s="11" t="str">
        <f t="shared" si="7"/>
        <v>none</v>
      </c>
      <c r="E238" s="5" t="str">
        <f t="shared" si="6"/>
        <v/>
      </c>
    </row>
    <row r="239" spans="1:5" x14ac:dyDescent="0.3">
      <c r="A239" s="7">
        <v>44433</v>
      </c>
      <c r="C239" s="5" t="e">
        <f>IF(A239=Planilha1!#REF!,Planilha1!#REF!,"")</f>
        <v>#REF!</v>
      </c>
      <c r="D239" s="10" t="str">
        <f t="shared" si="7"/>
        <v>none</v>
      </c>
      <c r="E239" s="5" t="str">
        <f t="shared" si="6"/>
        <v/>
      </c>
    </row>
    <row r="240" spans="1:5" x14ac:dyDescent="0.3">
      <c r="A240" s="8">
        <v>44434</v>
      </c>
      <c r="C240" s="5" t="e">
        <f>IF(A240=Planilha1!#REF!,Planilha1!#REF!,"")</f>
        <v>#REF!</v>
      </c>
      <c r="D240" s="11" t="str">
        <f t="shared" si="7"/>
        <v>none</v>
      </c>
      <c r="E240" s="5" t="str">
        <f t="shared" si="6"/>
        <v/>
      </c>
    </row>
    <row r="241" spans="1:5" x14ac:dyDescent="0.3">
      <c r="A241" s="7">
        <v>44435</v>
      </c>
      <c r="C241" s="5" t="e">
        <f>IF(A241=Planilha1!#REF!,Planilha1!#REF!,"")</f>
        <v>#REF!</v>
      </c>
      <c r="D241" s="10" t="str">
        <f t="shared" si="7"/>
        <v>none</v>
      </c>
      <c r="E241" s="5" t="str">
        <f t="shared" si="6"/>
        <v/>
      </c>
    </row>
    <row r="242" spans="1:5" x14ac:dyDescent="0.3">
      <c r="A242" s="8">
        <v>44436</v>
      </c>
      <c r="C242" s="5" t="e">
        <f>IF(A242=Planilha1!#REF!,Planilha1!#REF!,"")</f>
        <v>#REF!</v>
      </c>
      <c r="D242" s="11" t="str">
        <f t="shared" si="7"/>
        <v>none</v>
      </c>
      <c r="E242" s="5" t="str">
        <f t="shared" si="6"/>
        <v/>
      </c>
    </row>
    <row r="243" spans="1:5" x14ac:dyDescent="0.3">
      <c r="A243" s="7">
        <v>44437</v>
      </c>
      <c r="C243" s="5" t="e">
        <f>IF(A243=Planilha1!#REF!,Planilha1!#REF!,"")</f>
        <v>#REF!</v>
      </c>
      <c r="D243" s="10" t="str">
        <f t="shared" si="7"/>
        <v>none</v>
      </c>
      <c r="E243" s="5" t="str">
        <f t="shared" si="6"/>
        <v>FERIADO</v>
      </c>
    </row>
    <row r="244" spans="1:5" x14ac:dyDescent="0.3">
      <c r="A244" s="8">
        <v>44438</v>
      </c>
      <c r="C244" s="5" t="e">
        <f>IF(A244=Planilha1!#REF!,Planilha1!#REF!,"")</f>
        <v>#REF!</v>
      </c>
      <c r="D244" s="11" t="str">
        <f t="shared" si="7"/>
        <v>none</v>
      </c>
      <c r="E244" s="5" t="str">
        <f t="shared" si="6"/>
        <v/>
      </c>
    </row>
    <row r="245" spans="1:5" x14ac:dyDescent="0.3">
      <c r="A245" s="7">
        <v>44439</v>
      </c>
      <c r="C245" s="5" t="e">
        <f>IF(A245=Planilha1!#REF!,Planilha1!#REF!,"")</f>
        <v>#REF!</v>
      </c>
      <c r="D245" s="10" t="str">
        <f t="shared" si="7"/>
        <v>none</v>
      </c>
      <c r="E245" s="5" t="str">
        <f t="shared" si="6"/>
        <v/>
      </c>
    </row>
    <row r="246" spans="1:5" x14ac:dyDescent="0.3">
      <c r="A246" s="8">
        <v>44440</v>
      </c>
      <c r="C246" s="5" t="e">
        <f>IF(A246=Planilha1!#REF!,Planilha1!#REF!,"")</f>
        <v>#REF!</v>
      </c>
      <c r="D246" s="11" t="str">
        <f t="shared" si="7"/>
        <v>none</v>
      </c>
      <c r="E246" s="5" t="str">
        <f t="shared" si="6"/>
        <v/>
      </c>
    </row>
    <row r="247" spans="1:5" x14ac:dyDescent="0.3">
      <c r="A247" s="7">
        <v>44441</v>
      </c>
      <c r="C247" s="5" t="e">
        <f>IF(A247=Planilha1!#REF!,Planilha1!#REF!,"")</f>
        <v>#REF!</v>
      </c>
      <c r="D247" s="10" t="str">
        <f t="shared" si="7"/>
        <v>none</v>
      </c>
      <c r="E247" s="5" t="str">
        <f t="shared" si="6"/>
        <v/>
      </c>
    </row>
    <row r="248" spans="1:5" x14ac:dyDescent="0.3">
      <c r="A248" s="8">
        <v>44442</v>
      </c>
      <c r="C248" s="5" t="e">
        <f>IF(A248=Planilha1!#REF!,Planilha1!#REF!,"")</f>
        <v>#REF!</v>
      </c>
      <c r="D248" s="11" t="str">
        <f t="shared" si="7"/>
        <v>none</v>
      </c>
      <c r="E248" s="5" t="str">
        <f t="shared" si="6"/>
        <v/>
      </c>
    </row>
    <row r="249" spans="1:5" x14ac:dyDescent="0.3">
      <c r="A249" s="7">
        <v>44443</v>
      </c>
      <c r="C249" s="5" t="e">
        <f>IF(A249=Planilha1!#REF!,Planilha1!#REF!,"")</f>
        <v>#REF!</v>
      </c>
      <c r="D249" s="10" t="str">
        <f t="shared" si="7"/>
        <v>none</v>
      </c>
      <c r="E249" s="5" t="str">
        <f t="shared" si="6"/>
        <v/>
      </c>
    </row>
    <row r="250" spans="1:5" x14ac:dyDescent="0.3">
      <c r="A250" s="8">
        <v>44444</v>
      </c>
      <c r="C250" s="5" t="e">
        <f>IF(A250=Planilha1!#REF!,Planilha1!#REF!,"")</f>
        <v>#REF!</v>
      </c>
      <c r="D250" s="11" t="str">
        <f t="shared" si="7"/>
        <v>none</v>
      </c>
      <c r="E250" s="5" t="str">
        <f t="shared" si="6"/>
        <v>FERIADO</v>
      </c>
    </row>
    <row r="251" spans="1:5" x14ac:dyDescent="0.3">
      <c r="A251" s="7">
        <v>44445</v>
      </c>
      <c r="C251" s="5" t="e">
        <f>IF(A251=Planilha1!#REF!,Planilha1!#REF!,"")</f>
        <v>#REF!</v>
      </c>
      <c r="D251" s="10" t="str">
        <f t="shared" si="7"/>
        <v>none</v>
      </c>
      <c r="E251" s="5" t="str">
        <f t="shared" si="6"/>
        <v/>
      </c>
    </row>
    <row r="252" spans="1:5" x14ac:dyDescent="0.3">
      <c r="A252" s="8">
        <v>44446</v>
      </c>
      <c r="C252" s="5" t="e">
        <f>IF(A252=Planilha1!#REF!,Planilha1!#REF!,"")</f>
        <v>#REF!</v>
      </c>
      <c r="D252" s="11" t="str">
        <f t="shared" si="7"/>
        <v>none</v>
      </c>
      <c r="E252" s="5" t="str">
        <f t="shared" si="6"/>
        <v/>
      </c>
    </row>
    <row r="253" spans="1:5" x14ac:dyDescent="0.3">
      <c r="A253" s="7">
        <v>44447</v>
      </c>
      <c r="C253" s="5" t="e">
        <f>IF(A253=Planilha1!#REF!,Planilha1!#REF!,"")</f>
        <v>#REF!</v>
      </c>
      <c r="D253" s="10" t="str">
        <f t="shared" si="7"/>
        <v>none</v>
      </c>
      <c r="E253" s="5" t="str">
        <f t="shared" si="6"/>
        <v/>
      </c>
    </row>
    <row r="254" spans="1:5" x14ac:dyDescent="0.3">
      <c r="A254" s="8">
        <v>44448</v>
      </c>
      <c r="C254" s="5" t="e">
        <f>IF(A254=Planilha1!#REF!,Planilha1!#REF!,"")</f>
        <v>#REF!</v>
      </c>
      <c r="D254" s="11" t="str">
        <f t="shared" si="7"/>
        <v>none</v>
      </c>
      <c r="E254" s="5" t="str">
        <f t="shared" si="6"/>
        <v/>
      </c>
    </row>
    <row r="255" spans="1:5" x14ac:dyDescent="0.3">
      <c r="A255" s="7">
        <v>44449</v>
      </c>
      <c r="C255" s="5" t="e">
        <f>IF(A255=Planilha1!#REF!,Planilha1!#REF!,"")</f>
        <v>#REF!</v>
      </c>
      <c r="D255" s="10" t="str">
        <f t="shared" si="7"/>
        <v>none</v>
      </c>
      <c r="E255" s="5" t="str">
        <f t="shared" si="6"/>
        <v/>
      </c>
    </row>
    <row r="256" spans="1:5" x14ac:dyDescent="0.3">
      <c r="A256" s="8">
        <v>44450</v>
      </c>
      <c r="C256" s="5" t="e">
        <f>IF(A256=Planilha1!#REF!,Planilha1!#REF!,"")</f>
        <v>#REF!</v>
      </c>
      <c r="D256" s="11" t="str">
        <f t="shared" si="7"/>
        <v>none</v>
      </c>
      <c r="E256" s="5" t="str">
        <f t="shared" si="6"/>
        <v/>
      </c>
    </row>
    <row r="257" spans="1:5" x14ac:dyDescent="0.3">
      <c r="A257" s="7">
        <v>44451</v>
      </c>
      <c r="C257" s="5" t="e">
        <f>IF(A257=Planilha1!#REF!,Planilha1!#REF!,"")</f>
        <v>#REF!</v>
      </c>
      <c r="D257" s="10" t="str">
        <f t="shared" si="7"/>
        <v>none</v>
      </c>
      <c r="E257" s="5" t="str">
        <f t="shared" si="6"/>
        <v>FERIADO</v>
      </c>
    </row>
    <row r="258" spans="1:5" x14ac:dyDescent="0.3">
      <c r="A258" s="8">
        <v>44452</v>
      </c>
      <c r="C258" s="5" t="e">
        <f>IF(A258=Planilha1!#REF!,Planilha1!#REF!,"")</f>
        <v>#REF!</v>
      </c>
      <c r="D258" s="11" t="str">
        <f t="shared" si="7"/>
        <v>none</v>
      </c>
      <c r="E258" s="5" t="str">
        <f t="shared" si="6"/>
        <v/>
      </c>
    </row>
    <row r="259" spans="1:5" x14ac:dyDescent="0.3">
      <c r="A259" s="7">
        <v>44453</v>
      </c>
      <c r="C259" s="5" t="e">
        <f>IF(A259=Planilha1!#REF!,Planilha1!#REF!,"")</f>
        <v>#REF!</v>
      </c>
      <c r="D259" s="10" t="str">
        <f t="shared" si="7"/>
        <v>none</v>
      </c>
      <c r="E259" s="5" t="str">
        <f t="shared" si="6"/>
        <v/>
      </c>
    </row>
    <row r="260" spans="1:5" x14ac:dyDescent="0.3">
      <c r="A260" s="8">
        <v>44454</v>
      </c>
      <c r="C260" s="5" t="e">
        <f>IF(A260=Planilha1!#REF!,Planilha1!#REF!,"")</f>
        <v>#REF!</v>
      </c>
      <c r="D260" s="11" t="str">
        <f t="shared" si="7"/>
        <v>none</v>
      </c>
      <c r="E260" s="5" t="str">
        <f t="shared" ref="E260:E323" si="8">IF(WEEKDAY(A260,1)=1,"FERIADO","")</f>
        <v/>
      </c>
    </row>
    <row r="261" spans="1:5" x14ac:dyDescent="0.3">
      <c r="A261" s="7">
        <v>44455</v>
      </c>
      <c r="C261" s="5" t="e">
        <f>IF(A261=Planilha1!#REF!,Planilha1!#REF!,"")</f>
        <v>#REF!</v>
      </c>
      <c r="D261" s="10" t="str">
        <f t="shared" ref="D261:D324" si="9">IF(B261=$K$3,0,IF(B261=$K$4,1,IF(B261=$K$5,"-","none")))</f>
        <v>none</v>
      </c>
      <c r="E261" s="5" t="str">
        <f t="shared" si="8"/>
        <v/>
      </c>
    </row>
    <row r="262" spans="1:5" x14ac:dyDescent="0.3">
      <c r="A262" s="8">
        <v>44456</v>
      </c>
      <c r="C262" s="5" t="e">
        <f>IF(A262=Planilha1!#REF!,Planilha1!#REF!,"")</f>
        <v>#REF!</v>
      </c>
      <c r="D262" s="11" t="str">
        <f t="shared" si="9"/>
        <v>none</v>
      </c>
      <c r="E262" s="5" t="str">
        <f t="shared" si="8"/>
        <v/>
      </c>
    </row>
    <row r="263" spans="1:5" x14ac:dyDescent="0.3">
      <c r="A263" s="7">
        <v>44457</v>
      </c>
      <c r="C263" s="5" t="e">
        <f>IF(A263=Planilha1!#REF!,Planilha1!#REF!,"")</f>
        <v>#REF!</v>
      </c>
      <c r="D263" s="10" t="str">
        <f t="shared" si="9"/>
        <v>none</v>
      </c>
      <c r="E263" s="5" t="str">
        <f t="shared" si="8"/>
        <v/>
      </c>
    </row>
    <row r="264" spans="1:5" x14ac:dyDescent="0.3">
      <c r="A264" s="8">
        <v>44458</v>
      </c>
      <c r="C264" s="5" t="e">
        <f>IF(A264=Planilha1!#REF!,Planilha1!#REF!,"")</f>
        <v>#REF!</v>
      </c>
      <c r="D264" s="11" t="str">
        <f t="shared" si="9"/>
        <v>none</v>
      </c>
      <c r="E264" s="5" t="str">
        <f t="shared" si="8"/>
        <v>FERIADO</v>
      </c>
    </row>
    <row r="265" spans="1:5" x14ac:dyDescent="0.3">
      <c r="A265" s="7">
        <v>44459</v>
      </c>
      <c r="C265" s="5" t="e">
        <f>IF(A265=Planilha1!#REF!,Planilha1!#REF!,"")</f>
        <v>#REF!</v>
      </c>
      <c r="D265" s="10" t="str">
        <f t="shared" si="9"/>
        <v>none</v>
      </c>
      <c r="E265" s="5" t="str">
        <f t="shared" si="8"/>
        <v/>
      </c>
    </row>
    <row r="266" spans="1:5" x14ac:dyDescent="0.3">
      <c r="A266" s="8">
        <v>44460</v>
      </c>
      <c r="C266" s="5" t="e">
        <f>IF(A266=Planilha1!#REF!,Planilha1!#REF!,"")</f>
        <v>#REF!</v>
      </c>
      <c r="D266" s="11" t="str">
        <f t="shared" si="9"/>
        <v>none</v>
      </c>
      <c r="E266" s="5" t="str">
        <f t="shared" si="8"/>
        <v/>
      </c>
    </row>
    <row r="267" spans="1:5" x14ac:dyDescent="0.3">
      <c r="A267" s="7">
        <v>44461</v>
      </c>
      <c r="C267" s="5" t="e">
        <f>IF(A267=Planilha1!#REF!,Planilha1!#REF!,"")</f>
        <v>#REF!</v>
      </c>
      <c r="D267" s="10" t="str">
        <f t="shared" si="9"/>
        <v>none</v>
      </c>
      <c r="E267" s="5" t="str">
        <f t="shared" si="8"/>
        <v/>
      </c>
    </row>
    <row r="268" spans="1:5" x14ac:dyDescent="0.3">
      <c r="A268" s="8">
        <v>44462</v>
      </c>
      <c r="C268" s="5" t="e">
        <f>IF(A268=Planilha1!#REF!,Planilha1!#REF!,"")</f>
        <v>#REF!</v>
      </c>
      <c r="D268" s="11" t="str">
        <f t="shared" si="9"/>
        <v>none</v>
      </c>
      <c r="E268" s="5" t="str">
        <f t="shared" si="8"/>
        <v/>
      </c>
    </row>
    <row r="269" spans="1:5" x14ac:dyDescent="0.3">
      <c r="A269" s="7">
        <v>44463</v>
      </c>
      <c r="C269" s="5" t="e">
        <f>IF(A269=Planilha1!#REF!,Planilha1!#REF!,"")</f>
        <v>#REF!</v>
      </c>
      <c r="D269" s="10" t="str">
        <f t="shared" si="9"/>
        <v>none</v>
      </c>
      <c r="E269" s="5" t="str">
        <f t="shared" si="8"/>
        <v/>
      </c>
    </row>
    <row r="270" spans="1:5" x14ac:dyDescent="0.3">
      <c r="A270" s="8">
        <v>44464</v>
      </c>
      <c r="C270" s="5" t="e">
        <f>IF(A270=Planilha1!#REF!,Planilha1!#REF!,"")</f>
        <v>#REF!</v>
      </c>
      <c r="D270" s="11" t="str">
        <f t="shared" si="9"/>
        <v>none</v>
      </c>
      <c r="E270" s="5" t="str">
        <f t="shared" si="8"/>
        <v/>
      </c>
    </row>
    <row r="271" spans="1:5" x14ac:dyDescent="0.3">
      <c r="A271" s="7">
        <v>44465</v>
      </c>
      <c r="C271" s="5" t="e">
        <f>IF(A271=Planilha1!#REF!,Planilha1!#REF!,"")</f>
        <v>#REF!</v>
      </c>
      <c r="D271" s="10" t="str">
        <f t="shared" si="9"/>
        <v>none</v>
      </c>
      <c r="E271" s="5" t="str">
        <f t="shared" si="8"/>
        <v>FERIADO</v>
      </c>
    </row>
    <row r="272" spans="1:5" x14ac:dyDescent="0.3">
      <c r="A272" s="8">
        <v>44466</v>
      </c>
      <c r="C272" s="5" t="e">
        <f>IF(A272=Planilha1!#REF!,Planilha1!#REF!,"")</f>
        <v>#REF!</v>
      </c>
      <c r="D272" s="11" t="str">
        <f t="shared" si="9"/>
        <v>none</v>
      </c>
      <c r="E272" s="5" t="str">
        <f t="shared" si="8"/>
        <v/>
      </c>
    </row>
    <row r="273" spans="1:5" x14ac:dyDescent="0.3">
      <c r="A273" s="7">
        <v>44467</v>
      </c>
      <c r="C273" s="5" t="e">
        <f>IF(A273=Planilha1!#REF!,Planilha1!#REF!,"")</f>
        <v>#REF!</v>
      </c>
      <c r="D273" s="10" t="str">
        <f t="shared" si="9"/>
        <v>none</v>
      </c>
      <c r="E273" s="5" t="str">
        <f t="shared" si="8"/>
        <v/>
      </c>
    </row>
    <row r="274" spans="1:5" x14ac:dyDescent="0.3">
      <c r="A274" s="8">
        <v>44468</v>
      </c>
      <c r="C274" s="5" t="e">
        <f>IF(A274=Planilha1!#REF!,Planilha1!#REF!,"")</f>
        <v>#REF!</v>
      </c>
      <c r="D274" s="11" t="str">
        <f t="shared" si="9"/>
        <v>none</v>
      </c>
      <c r="E274" s="5" t="str">
        <f t="shared" si="8"/>
        <v/>
      </c>
    </row>
    <row r="275" spans="1:5" x14ac:dyDescent="0.3">
      <c r="A275" s="7">
        <v>44469</v>
      </c>
      <c r="C275" s="5" t="e">
        <f>IF(A275=Planilha1!#REF!,Planilha1!#REF!,"")</f>
        <v>#REF!</v>
      </c>
      <c r="D275" s="10" t="str">
        <f t="shared" si="9"/>
        <v>none</v>
      </c>
      <c r="E275" s="5" t="str">
        <f t="shared" si="8"/>
        <v/>
      </c>
    </row>
    <row r="276" spans="1:5" x14ac:dyDescent="0.3">
      <c r="A276" s="8">
        <v>44470</v>
      </c>
      <c r="C276" s="5" t="e">
        <f>IF(A276=Planilha1!#REF!,Planilha1!#REF!,"")</f>
        <v>#REF!</v>
      </c>
      <c r="D276" s="11" t="str">
        <f t="shared" si="9"/>
        <v>none</v>
      </c>
      <c r="E276" s="5" t="str">
        <f t="shared" si="8"/>
        <v/>
      </c>
    </row>
    <row r="277" spans="1:5" x14ac:dyDescent="0.3">
      <c r="A277" s="7">
        <v>44471</v>
      </c>
      <c r="C277" s="5" t="e">
        <f>IF(A277=Planilha1!#REF!,Planilha1!#REF!,"")</f>
        <v>#REF!</v>
      </c>
      <c r="D277" s="10" t="str">
        <f t="shared" si="9"/>
        <v>none</v>
      </c>
      <c r="E277" s="5" t="str">
        <f t="shared" si="8"/>
        <v/>
      </c>
    </row>
    <row r="278" spans="1:5" x14ac:dyDescent="0.3">
      <c r="A278" s="8">
        <v>44472</v>
      </c>
      <c r="C278" s="5" t="e">
        <f>IF(A278=Planilha1!#REF!,Planilha1!#REF!,"")</f>
        <v>#REF!</v>
      </c>
      <c r="D278" s="11" t="str">
        <f t="shared" si="9"/>
        <v>none</v>
      </c>
      <c r="E278" s="5" t="str">
        <f t="shared" si="8"/>
        <v>FERIADO</v>
      </c>
    </row>
    <row r="279" spans="1:5" x14ac:dyDescent="0.3">
      <c r="A279" s="7">
        <v>44473</v>
      </c>
      <c r="C279" s="5" t="e">
        <f>IF(A279=Planilha1!#REF!,Planilha1!#REF!,"")</f>
        <v>#REF!</v>
      </c>
      <c r="D279" s="10" t="str">
        <f t="shared" si="9"/>
        <v>none</v>
      </c>
      <c r="E279" s="5" t="str">
        <f t="shared" si="8"/>
        <v/>
      </c>
    </row>
    <row r="280" spans="1:5" x14ac:dyDescent="0.3">
      <c r="A280" s="8">
        <v>44474</v>
      </c>
      <c r="C280" s="5" t="e">
        <f>IF(A280=Planilha1!#REF!,Planilha1!#REF!,"")</f>
        <v>#REF!</v>
      </c>
      <c r="D280" s="11" t="str">
        <f t="shared" si="9"/>
        <v>none</v>
      </c>
      <c r="E280" s="5" t="str">
        <f t="shared" si="8"/>
        <v/>
      </c>
    </row>
    <row r="281" spans="1:5" x14ac:dyDescent="0.3">
      <c r="A281" s="7">
        <v>44475</v>
      </c>
      <c r="C281" s="5" t="e">
        <f>IF(A281=Planilha1!#REF!,Planilha1!#REF!,"")</f>
        <v>#REF!</v>
      </c>
      <c r="D281" s="10" t="str">
        <f t="shared" si="9"/>
        <v>none</v>
      </c>
      <c r="E281" s="5" t="str">
        <f t="shared" si="8"/>
        <v/>
      </c>
    </row>
    <row r="282" spans="1:5" x14ac:dyDescent="0.3">
      <c r="A282" s="8">
        <v>44476</v>
      </c>
      <c r="C282" s="5" t="e">
        <f>IF(A282=Planilha1!#REF!,Planilha1!#REF!,"")</f>
        <v>#REF!</v>
      </c>
      <c r="D282" s="11" t="str">
        <f t="shared" si="9"/>
        <v>none</v>
      </c>
      <c r="E282" s="5" t="str">
        <f t="shared" si="8"/>
        <v/>
      </c>
    </row>
    <row r="283" spans="1:5" x14ac:dyDescent="0.3">
      <c r="A283" s="7">
        <v>44477</v>
      </c>
      <c r="C283" s="5" t="e">
        <f>IF(A283=Planilha1!#REF!,Planilha1!#REF!,"")</f>
        <v>#REF!</v>
      </c>
      <c r="D283" s="10" t="str">
        <f t="shared" si="9"/>
        <v>none</v>
      </c>
      <c r="E283" s="5" t="str">
        <f t="shared" si="8"/>
        <v/>
      </c>
    </row>
    <row r="284" spans="1:5" x14ac:dyDescent="0.3">
      <c r="A284" s="8">
        <v>44478</v>
      </c>
      <c r="C284" s="5" t="e">
        <f>IF(A284=Planilha1!#REF!,Planilha1!#REF!,"")</f>
        <v>#REF!</v>
      </c>
      <c r="D284" s="11" t="str">
        <f t="shared" si="9"/>
        <v>none</v>
      </c>
      <c r="E284" s="5" t="str">
        <f t="shared" si="8"/>
        <v/>
      </c>
    </row>
    <row r="285" spans="1:5" x14ac:dyDescent="0.3">
      <c r="A285" s="7">
        <v>44479</v>
      </c>
      <c r="C285" s="5" t="e">
        <f>IF(A285=Planilha1!#REF!,Planilha1!#REF!,"")</f>
        <v>#REF!</v>
      </c>
      <c r="D285" s="10" t="str">
        <f t="shared" si="9"/>
        <v>none</v>
      </c>
      <c r="E285" s="5" t="str">
        <f t="shared" si="8"/>
        <v>FERIADO</v>
      </c>
    </row>
    <row r="286" spans="1:5" x14ac:dyDescent="0.3">
      <c r="A286" s="8">
        <v>44480</v>
      </c>
      <c r="C286" s="5" t="e">
        <f>IF(A286=Planilha1!#REF!,Planilha1!#REF!,"")</f>
        <v>#REF!</v>
      </c>
      <c r="D286" s="11" t="str">
        <f t="shared" si="9"/>
        <v>none</v>
      </c>
      <c r="E286" s="5" t="str">
        <f t="shared" si="8"/>
        <v/>
      </c>
    </row>
    <row r="287" spans="1:5" x14ac:dyDescent="0.3">
      <c r="A287" s="7">
        <v>44481</v>
      </c>
      <c r="C287" s="5" t="e">
        <f>IF(A287=Planilha1!#REF!,Planilha1!#REF!,"")</f>
        <v>#REF!</v>
      </c>
      <c r="D287" s="10" t="str">
        <f t="shared" si="9"/>
        <v>none</v>
      </c>
      <c r="E287" s="5" t="str">
        <f t="shared" si="8"/>
        <v/>
      </c>
    </row>
    <row r="288" spans="1:5" x14ac:dyDescent="0.3">
      <c r="A288" s="8">
        <v>44482</v>
      </c>
      <c r="C288" s="5" t="e">
        <f>IF(A288=Planilha1!#REF!,Planilha1!#REF!,"")</f>
        <v>#REF!</v>
      </c>
      <c r="D288" s="11" t="str">
        <f t="shared" si="9"/>
        <v>none</v>
      </c>
      <c r="E288" s="5" t="str">
        <f t="shared" si="8"/>
        <v/>
      </c>
    </row>
    <row r="289" spans="1:5" x14ac:dyDescent="0.3">
      <c r="A289" s="7">
        <v>44483</v>
      </c>
      <c r="C289" s="5" t="e">
        <f>IF(A289=Planilha1!#REF!,Planilha1!#REF!,"")</f>
        <v>#REF!</v>
      </c>
      <c r="D289" s="10" t="str">
        <f t="shared" si="9"/>
        <v>none</v>
      </c>
      <c r="E289" s="5" t="str">
        <f t="shared" si="8"/>
        <v/>
      </c>
    </row>
    <row r="290" spans="1:5" x14ac:dyDescent="0.3">
      <c r="A290" s="8">
        <v>44484</v>
      </c>
      <c r="C290" s="5" t="e">
        <f>IF(A290=Planilha1!#REF!,Planilha1!#REF!,"")</f>
        <v>#REF!</v>
      </c>
      <c r="D290" s="11" t="str">
        <f t="shared" si="9"/>
        <v>none</v>
      </c>
      <c r="E290" s="5" t="str">
        <f t="shared" si="8"/>
        <v/>
      </c>
    </row>
    <row r="291" spans="1:5" x14ac:dyDescent="0.3">
      <c r="A291" s="7">
        <v>44485</v>
      </c>
      <c r="C291" s="5" t="e">
        <f>IF(A291=Planilha1!#REF!,Planilha1!#REF!,"")</f>
        <v>#REF!</v>
      </c>
      <c r="D291" s="10" t="str">
        <f t="shared" si="9"/>
        <v>none</v>
      </c>
      <c r="E291" s="5" t="str">
        <f t="shared" si="8"/>
        <v/>
      </c>
    </row>
    <row r="292" spans="1:5" x14ac:dyDescent="0.3">
      <c r="A292" s="8">
        <v>44486</v>
      </c>
      <c r="C292" s="5" t="e">
        <f>IF(A292=Planilha1!#REF!,Planilha1!#REF!,"")</f>
        <v>#REF!</v>
      </c>
      <c r="D292" s="11" t="str">
        <f t="shared" si="9"/>
        <v>none</v>
      </c>
      <c r="E292" s="5" t="str">
        <f t="shared" si="8"/>
        <v>FERIADO</v>
      </c>
    </row>
    <row r="293" spans="1:5" x14ac:dyDescent="0.3">
      <c r="A293" s="7">
        <v>44487</v>
      </c>
      <c r="C293" s="5" t="e">
        <f>IF(A293=Planilha1!#REF!,Planilha1!#REF!,"")</f>
        <v>#REF!</v>
      </c>
      <c r="D293" s="10" t="str">
        <f t="shared" si="9"/>
        <v>none</v>
      </c>
      <c r="E293" s="5" t="str">
        <f t="shared" si="8"/>
        <v/>
      </c>
    </row>
    <row r="294" spans="1:5" x14ac:dyDescent="0.3">
      <c r="A294" s="8">
        <v>44488</v>
      </c>
      <c r="C294" s="5" t="e">
        <f>IF(A294=Planilha1!#REF!,Planilha1!#REF!,"")</f>
        <v>#REF!</v>
      </c>
      <c r="D294" s="11" t="str">
        <f t="shared" si="9"/>
        <v>none</v>
      </c>
      <c r="E294" s="5" t="str">
        <f t="shared" si="8"/>
        <v/>
      </c>
    </row>
    <row r="295" spans="1:5" x14ac:dyDescent="0.3">
      <c r="A295" s="7">
        <v>44489</v>
      </c>
      <c r="C295" s="5" t="e">
        <f>IF(A295=Planilha1!#REF!,Planilha1!#REF!,"")</f>
        <v>#REF!</v>
      </c>
      <c r="D295" s="10" t="str">
        <f t="shared" si="9"/>
        <v>none</v>
      </c>
      <c r="E295" s="5" t="str">
        <f t="shared" si="8"/>
        <v/>
      </c>
    </row>
    <row r="296" spans="1:5" x14ac:dyDescent="0.3">
      <c r="A296" s="8">
        <v>44490</v>
      </c>
      <c r="C296" s="5" t="e">
        <f>IF(A296=Planilha1!#REF!,Planilha1!#REF!,"")</f>
        <v>#REF!</v>
      </c>
      <c r="D296" s="11" t="str">
        <f t="shared" si="9"/>
        <v>none</v>
      </c>
      <c r="E296" s="5" t="str">
        <f t="shared" si="8"/>
        <v/>
      </c>
    </row>
    <row r="297" spans="1:5" x14ac:dyDescent="0.3">
      <c r="A297" s="7">
        <v>44491</v>
      </c>
      <c r="C297" s="5" t="e">
        <f>IF(A297=Planilha1!#REF!,Planilha1!#REF!,"")</f>
        <v>#REF!</v>
      </c>
      <c r="D297" s="10" t="str">
        <f t="shared" si="9"/>
        <v>none</v>
      </c>
      <c r="E297" s="5" t="str">
        <f t="shared" si="8"/>
        <v/>
      </c>
    </row>
    <row r="298" spans="1:5" x14ac:dyDescent="0.3">
      <c r="A298" s="8">
        <v>44492</v>
      </c>
      <c r="C298" s="5" t="e">
        <f>IF(A298=Planilha1!#REF!,Planilha1!#REF!,"")</f>
        <v>#REF!</v>
      </c>
      <c r="D298" s="11" t="str">
        <f t="shared" si="9"/>
        <v>none</v>
      </c>
      <c r="E298" s="5" t="str">
        <f t="shared" si="8"/>
        <v/>
      </c>
    </row>
    <row r="299" spans="1:5" x14ac:dyDescent="0.3">
      <c r="A299" s="7">
        <v>44493</v>
      </c>
      <c r="C299" s="5" t="e">
        <f>IF(A299=Planilha1!#REF!,Planilha1!#REF!,"")</f>
        <v>#REF!</v>
      </c>
      <c r="D299" s="10" t="str">
        <f t="shared" si="9"/>
        <v>none</v>
      </c>
      <c r="E299" s="5" t="str">
        <f t="shared" si="8"/>
        <v>FERIADO</v>
      </c>
    </row>
    <row r="300" spans="1:5" x14ac:dyDescent="0.3">
      <c r="A300" s="8">
        <v>44494</v>
      </c>
      <c r="C300" s="5" t="e">
        <f>IF(A300=Planilha1!#REF!,Planilha1!#REF!,"")</f>
        <v>#REF!</v>
      </c>
      <c r="D300" s="11" t="str">
        <f t="shared" si="9"/>
        <v>none</v>
      </c>
      <c r="E300" s="5" t="str">
        <f t="shared" si="8"/>
        <v/>
      </c>
    </row>
    <row r="301" spans="1:5" x14ac:dyDescent="0.3">
      <c r="A301" s="7">
        <v>44495</v>
      </c>
      <c r="C301" s="5" t="e">
        <f>IF(A301=Planilha1!#REF!,Planilha1!#REF!,"")</f>
        <v>#REF!</v>
      </c>
      <c r="D301" s="10" t="str">
        <f t="shared" si="9"/>
        <v>none</v>
      </c>
      <c r="E301" s="5" t="str">
        <f t="shared" si="8"/>
        <v/>
      </c>
    </row>
    <row r="302" spans="1:5" x14ac:dyDescent="0.3">
      <c r="A302" s="8">
        <v>44496</v>
      </c>
      <c r="C302" s="5" t="e">
        <f>IF(A302=Planilha1!#REF!,Planilha1!#REF!,"")</f>
        <v>#REF!</v>
      </c>
      <c r="D302" s="11" t="str">
        <f t="shared" si="9"/>
        <v>none</v>
      </c>
      <c r="E302" s="5" t="str">
        <f t="shared" si="8"/>
        <v/>
      </c>
    </row>
    <row r="303" spans="1:5" x14ac:dyDescent="0.3">
      <c r="A303" s="7">
        <v>44497</v>
      </c>
      <c r="C303" s="5" t="e">
        <f>IF(A303=Planilha1!#REF!,Planilha1!#REF!,"")</f>
        <v>#REF!</v>
      </c>
      <c r="D303" s="10" t="str">
        <f t="shared" si="9"/>
        <v>none</v>
      </c>
      <c r="E303" s="5" t="str">
        <f t="shared" si="8"/>
        <v/>
      </c>
    </row>
    <row r="304" spans="1:5" x14ac:dyDescent="0.3">
      <c r="A304" s="8">
        <v>44498</v>
      </c>
      <c r="C304" s="5" t="e">
        <f>IF(A304=Planilha1!#REF!,Planilha1!#REF!,"")</f>
        <v>#REF!</v>
      </c>
      <c r="D304" s="11" t="str">
        <f t="shared" si="9"/>
        <v>none</v>
      </c>
      <c r="E304" s="5" t="str">
        <f t="shared" si="8"/>
        <v/>
      </c>
    </row>
    <row r="305" spans="1:5" x14ac:dyDescent="0.3">
      <c r="A305" s="7">
        <v>44499</v>
      </c>
      <c r="C305" s="5" t="e">
        <f>IF(A305=Planilha1!#REF!,Planilha1!#REF!,"")</f>
        <v>#REF!</v>
      </c>
      <c r="D305" s="10" t="str">
        <f t="shared" si="9"/>
        <v>none</v>
      </c>
      <c r="E305" s="5" t="str">
        <f t="shared" si="8"/>
        <v/>
      </c>
    </row>
    <row r="306" spans="1:5" x14ac:dyDescent="0.3">
      <c r="A306" s="8">
        <v>44500</v>
      </c>
      <c r="C306" s="5" t="e">
        <f>IF(A306=Planilha1!#REF!,Planilha1!#REF!,"")</f>
        <v>#REF!</v>
      </c>
      <c r="D306" s="11" t="str">
        <f t="shared" si="9"/>
        <v>none</v>
      </c>
      <c r="E306" s="5" t="str">
        <f t="shared" si="8"/>
        <v>FERIADO</v>
      </c>
    </row>
    <row r="307" spans="1:5" x14ac:dyDescent="0.3">
      <c r="A307" s="7">
        <v>44501</v>
      </c>
      <c r="C307" s="5" t="e">
        <f>IF(A307=Planilha1!#REF!,Planilha1!#REF!,"")</f>
        <v>#REF!</v>
      </c>
      <c r="D307" s="10" t="str">
        <f t="shared" si="9"/>
        <v>none</v>
      </c>
      <c r="E307" s="5" t="str">
        <f t="shared" si="8"/>
        <v/>
      </c>
    </row>
    <row r="308" spans="1:5" x14ac:dyDescent="0.3">
      <c r="A308" s="8">
        <v>44502</v>
      </c>
      <c r="C308" s="5" t="e">
        <f>IF(A308=Planilha1!#REF!,Planilha1!#REF!,"")</f>
        <v>#REF!</v>
      </c>
      <c r="D308" s="11" t="str">
        <f t="shared" si="9"/>
        <v>none</v>
      </c>
      <c r="E308" s="5" t="str">
        <f t="shared" si="8"/>
        <v/>
      </c>
    </row>
    <row r="309" spans="1:5" x14ac:dyDescent="0.3">
      <c r="A309" s="7">
        <v>44503</v>
      </c>
      <c r="C309" s="5" t="e">
        <f>IF(A309=Planilha1!#REF!,Planilha1!#REF!,"")</f>
        <v>#REF!</v>
      </c>
      <c r="D309" s="10" t="str">
        <f t="shared" si="9"/>
        <v>none</v>
      </c>
      <c r="E309" s="5" t="str">
        <f t="shared" si="8"/>
        <v/>
      </c>
    </row>
    <row r="310" spans="1:5" x14ac:dyDescent="0.3">
      <c r="A310" s="8">
        <v>44504</v>
      </c>
      <c r="C310" s="5" t="e">
        <f>IF(A310=Planilha1!#REF!,Planilha1!#REF!,"")</f>
        <v>#REF!</v>
      </c>
      <c r="D310" s="11" t="str">
        <f t="shared" si="9"/>
        <v>none</v>
      </c>
      <c r="E310" s="5" t="str">
        <f t="shared" si="8"/>
        <v/>
      </c>
    </row>
    <row r="311" spans="1:5" x14ac:dyDescent="0.3">
      <c r="A311" s="7">
        <v>44505</v>
      </c>
      <c r="C311" s="5" t="e">
        <f>IF(A311=Planilha1!#REF!,Planilha1!#REF!,"")</f>
        <v>#REF!</v>
      </c>
      <c r="D311" s="10" t="str">
        <f t="shared" si="9"/>
        <v>none</v>
      </c>
      <c r="E311" s="5" t="str">
        <f t="shared" si="8"/>
        <v/>
      </c>
    </row>
    <row r="312" spans="1:5" x14ac:dyDescent="0.3">
      <c r="A312" s="8">
        <v>44506</v>
      </c>
      <c r="C312" s="5" t="e">
        <f>IF(A312=Planilha1!#REF!,Planilha1!#REF!,"")</f>
        <v>#REF!</v>
      </c>
      <c r="D312" s="11" t="str">
        <f t="shared" si="9"/>
        <v>none</v>
      </c>
      <c r="E312" s="5" t="str">
        <f t="shared" si="8"/>
        <v/>
      </c>
    </row>
    <row r="313" spans="1:5" x14ac:dyDescent="0.3">
      <c r="A313" s="7">
        <v>44507</v>
      </c>
      <c r="C313" s="5" t="e">
        <f>IF(A313=Planilha1!#REF!,Planilha1!#REF!,"")</f>
        <v>#REF!</v>
      </c>
      <c r="D313" s="10" t="str">
        <f t="shared" si="9"/>
        <v>none</v>
      </c>
      <c r="E313" s="5" t="str">
        <f t="shared" si="8"/>
        <v>FERIADO</v>
      </c>
    </row>
    <row r="314" spans="1:5" x14ac:dyDescent="0.3">
      <c r="A314" s="8">
        <v>44508</v>
      </c>
      <c r="C314" s="5" t="e">
        <f>IF(A314=Planilha1!#REF!,Planilha1!#REF!,"")</f>
        <v>#REF!</v>
      </c>
      <c r="D314" s="11" t="str">
        <f t="shared" si="9"/>
        <v>none</v>
      </c>
      <c r="E314" s="5" t="str">
        <f t="shared" si="8"/>
        <v/>
      </c>
    </row>
    <row r="315" spans="1:5" x14ac:dyDescent="0.3">
      <c r="A315" s="7">
        <v>44509</v>
      </c>
      <c r="C315" s="5" t="e">
        <f>IF(A315=Planilha1!#REF!,Planilha1!#REF!,"")</f>
        <v>#REF!</v>
      </c>
      <c r="D315" s="10" t="str">
        <f t="shared" si="9"/>
        <v>none</v>
      </c>
      <c r="E315" s="5" t="str">
        <f t="shared" si="8"/>
        <v/>
      </c>
    </row>
    <row r="316" spans="1:5" x14ac:dyDescent="0.3">
      <c r="A316" s="8">
        <v>44510</v>
      </c>
      <c r="C316" s="5" t="e">
        <f>IF(A316=Planilha1!#REF!,Planilha1!#REF!,"")</f>
        <v>#REF!</v>
      </c>
      <c r="D316" s="11" t="str">
        <f t="shared" si="9"/>
        <v>none</v>
      </c>
      <c r="E316" s="5" t="str">
        <f t="shared" si="8"/>
        <v/>
      </c>
    </row>
    <row r="317" spans="1:5" x14ac:dyDescent="0.3">
      <c r="A317" s="7">
        <v>44511</v>
      </c>
      <c r="C317" s="5" t="e">
        <f>IF(A317=Planilha1!#REF!,Planilha1!#REF!,"")</f>
        <v>#REF!</v>
      </c>
      <c r="D317" s="10" t="str">
        <f t="shared" si="9"/>
        <v>none</v>
      </c>
      <c r="E317" s="5" t="str">
        <f t="shared" si="8"/>
        <v/>
      </c>
    </row>
    <row r="318" spans="1:5" x14ac:dyDescent="0.3">
      <c r="A318" s="8">
        <v>44512</v>
      </c>
      <c r="C318" s="5" t="e">
        <f>IF(A318=Planilha1!#REF!,Planilha1!#REF!,"")</f>
        <v>#REF!</v>
      </c>
      <c r="D318" s="11" t="str">
        <f t="shared" si="9"/>
        <v>none</v>
      </c>
      <c r="E318" s="5" t="str">
        <f t="shared" si="8"/>
        <v/>
      </c>
    </row>
    <row r="319" spans="1:5" x14ac:dyDescent="0.3">
      <c r="A319" s="7">
        <v>44513</v>
      </c>
      <c r="C319" s="5" t="e">
        <f>IF(A319=Planilha1!#REF!,Planilha1!#REF!,"")</f>
        <v>#REF!</v>
      </c>
      <c r="D319" s="10" t="str">
        <f t="shared" si="9"/>
        <v>none</v>
      </c>
      <c r="E319" s="5" t="str">
        <f t="shared" si="8"/>
        <v/>
      </c>
    </row>
    <row r="320" spans="1:5" x14ac:dyDescent="0.3">
      <c r="A320" s="8">
        <v>44514</v>
      </c>
      <c r="C320" s="5" t="e">
        <f>IF(A320=Planilha1!#REF!,Planilha1!#REF!,"")</f>
        <v>#REF!</v>
      </c>
      <c r="D320" s="11" t="str">
        <f t="shared" si="9"/>
        <v>none</v>
      </c>
      <c r="E320" s="5" t="str">
        <f t="shared" si="8"/>
        <v>FERIADO</v>
      </c>
    </row>
    <row r="321" spans="1:5" x14ac:dyDescent="0.3">
      <c r="A321" s="7">
        <v>44515</v>
      </c>
      <c r="C321" s="5" t="e">
        <f>IF(A321=Planilha1!#REF!,Planilha1!#REF!,"")</f>
        <v>#REF!</v>
      </c>
      <c r="D321" s="10" t="str">
        <f t="shared" si="9"/>
        <v>none</v>
      </c>
      <c r="E321" s="5" t="str">
        <f t="shared" si="8"/>
        <v/>
      </c>
    </row>
    <row r="322" spans="1:5" x14ac:dyDescent="0.3">
      <c r="A322" s="8">
        <v>44516</v>
      </c>
      <c r="C322" s="5" t="e">
        <f>IF(A322=Planilha1!#REF!,Planilha1!#REF!,"")</f>
        <v>#REF!</v>
      </c>
      <c r="D322" s="11" t="str">
        <f t="shared" si="9"/>
        <v>none</v>
      </c>
      <c r="E322" s="5" t="str">
        <f t="shared" si="8"/>
        <v/>
      </c>
    </row>
    <row r="323" spans="1:5" x14ac:dyDescent="0.3">
      <c r="A323" s="7">
        <v>44517</v>
      </c>
      <c r="C323" s="5" t="e">
        <f>IF(A323=Planilha1!#REF!,Planilha1!#REF!,"")</f>
        <v>#REF!</v>
      </c>
      <c r="D323" s="10" t="str">
        <f t="shared" si="9"/>
        <v>none</v>
      </c>
      <c r="E323" s="5" t="str">
        <f t="shared" si="8"/>
        <v/>
      </c>
    </row>
    <row r="324" spans="1:5" x14ac:dyDescent="0.3">
      <c r="A324" s="8">
        <v>44518</v>
      </c>
      <c r="C324" s="5" t="e">
        <f>IF(A324=Planilha1!#REF!,Planilha1!#REF!,"")</f>
        <v>#REF!</v>
      </c>
      <c r="D324" s="11" t="str">
        <f t="shared" si="9"/>
        <v>none</v>
      </c>
      <c r="E324" s="5" t="str">
        <f t="shared" ref="E324:E367" si="10">IF(WEEKDAY(A324,1)=1,"FERIADO","")</f>
        <v/>
      </c>
    </row>
    <row r="325" spans="1:5" x14ac:dyDescent="0.3">
      <c r="A325" s="7">
        <v>44519</v>
      </c>
      <c r="C325" s="5" t="e">
        <f>IF(A325=Planilha1!#REF!,Planilha1!#REF!,"")</f>
        <v>#REF!</v>
      </c>
      <c r="D325" s="10" t="str">
        <f t="shared" ref="D325:D367" si="11">IF(B325=$K$3,0,IF(B325=$K$4,1,IF(B325=$K$5,"-","none")))</f>
        <v>none</v>
      </c>
      <c r="E325" s="5" t="str">
        <f t="shared" si="10"/>
        <v/>
      </c>
    </row>
    <row r="326" spans="1:5" x14ac:dyDescent="0.3">
      <c r="A326" s="8">
        <v>44520</v>
      </c>
      <c r="C326" s="5" t="e">
        <f>IF(A326=Planilha1!#REF!,Planilha1!#REF!,"")</f>
        <v>#REF!</v>
      </c>
      <c r="D326" s="11" t="str">
        <f t="shared" si="11"/>
        <v>none</v>
      </c>
      <c r="E326" s="5" t="str">
        <f t="shared" si="10"/>
        <v/>
      </c>
    </row>
    <row r="327" spans="1:5" x14ac:dyDescent="0.3">
      <c r="A327" s="7">
        <v>44521</v>
      </c>
      <c r="C327" s="5" t="e">
        <f>IF(A327=Planilha1!#REF!,Planilha1!#REF!,"")</f>
        <v>#REF!</v>
      </c>
      <c r="D327" s="10" t="str">
        <f t="shared" si="11"/>
        <v>none</v>
      </c>
      <c r="E327" s="5" t="str">
        <f t="shared" si="10"/>
        <v>FERIADO</v>
      </c>
    </row>
    <row r="328" spans="1:5" x14ac:dyDescent="0.3">
      <c r="A328" s="8">
        <v>44522</v>
      </c>
      <c r="C328" s="5" t="e">
        <f>IF(A328=Planilha1!#REF!,Planilha1!#REF!,"")</f>
        <v>#REF!</v>
      </c>
      <c r="D328" s="11" t="str">
        <f t="shared" si="11"/>
        <v>none</v>
      </c>
      <c r="E328" s="5" t="str">
        <f t="shared" si="10"/>
        <v/>
      </c>
    </row>
    <row r="329" spans="1:5" x14ac:dyDescent="0.3">
      <c r="A329" s="7">
        <v>44523</v>
      </c>
      <c r="C329" s="5" t="e">
        <f>IF(A329=Planilha1!#REF!,Planilha1!#REF!,"")</f>
        <v>#REF!</v>
      </c>
      <c r="D329" s="10" t="str">
        <f t="shared" si="11"/>
        <v>none</v>
      </c>
      <c r="E329" s="5" t="str">
        <f t="shared" si="10"/>
        <v/>
      </c>
    </row>
    <row r="330" spans="1:5" x14ac:dyDescent="0.3">
      <c r="A330" s="8">
        <v>44524</v>
      </c>
      <c r="C330" s="5" t="e">
        <f>IF(A330=Planilha1!#REF!,Planilha1!#REF!,"")</f>
        <v>#REF!</v>
      </c>
      <c r="D330" s="11" t="str">
        <f t="shared" si="11"/>
        <v>none</v>
      </c>
      <c r="E330" s="5" t="str">
        <f t="shared" si="10"/>
        <v/>
      </c>
    </row>
    <row r="331" spans="1:5" x14ac:dyDescent="0.3">
      <c r="A331" s="7">
        <v>44525</v>
      </c>
      <c r="C331" s="5" t="e">
        <f>IF(A331=Planilha1!#REF!,Planilha1!#REF!,"")</f>
        <v>#REF!</v>
      </c>
      <c r="D331" s="10" t="str">
        <f t="shared" si="11"/>
        <v>none</v>
      </c>
      <c r="E331" s="5" t="str">
        <f t="shared" si="10"/>
        <v/>
      </c>
    </row>
    <row r="332" spans="1:5" x14ac:dyDescent="0.3">
      <c r="A332" s="8">
        <v>44526</v>
      </c>
      <c r="C332" s="5" t="e">
        <f>IF(A332=Planilha1!#REF!,Planilha1!#REF!,"")</f>
        <v>#REF!</v>
      </c>
      <c r="D332" s="11" t="str">
        <f t="shared" si="11"/>
        <v>none</v>
      </c>
      <c r="E332" s="5" t="str">
        <f t="shared" si="10"/>
        <v/>
      </c>
    </row>
    <row r="333" spans="1:5" x14ac:dyDescent="0.3">
      <c r="A333" s="7">
        <v>44527</v>
      </c>
      <c r="C333" s="5" t="e">
        <f>IF(A333=Planilha1!#REF!,Planilha1!#REF!,"")</f>
        <v>#REF!</v>
      </c>
      <c r="D333" s="10" t="str">
        <f t="shared" si="11"/>
        <v>none</v>
      </c>
      <c r="E333" s="5" t="str">
        <f t="shared" si="10"/>
        <v/>
      </c>
    </row>
    <row r="334" spans="1:5" x14ac:dyDescent="0.3">
      <c r="A334" s="8">
        <v>44528</v>
      </c>
      <c r="C334" s="5" t="e">
        <f>IF(A334=Planilha1!#REF!,Planilha1!#REF!,"")</f>
        <v>#REF!</v>
      </c>
      <c r="D334" s="11" t="str">
        <f t="shared" si="11"/>
        <v>none</v>
      </c>
      <c r="E334" s="5" t="str">
        <f t="shared" si="10"/>
        <v>FERIADO</v>
      </c>
    </row>
    <row r="335" spans="1:5" x14ac:dyDescent="0.3">
      <c r="A335" s="7">
        <v>44529</v>
      </c>
      <c r="C335" s="5" t="e">
        <f>IF(A335=Planilha1!#REF!,Planilha1!#REF!,"")</f>
        <v>#REF!</v>
      </c>
      <c r="D335" s="10" t="str">
        <f t="shared" si="11"/>
        <v>none</v>
      </c>
      <c r="E335" s="5" t="str">
        <f t="shared" si="10"/>
        <v/>
      </c>
    </row>
    <row r="336" spans="1:5" x14ac:dyDescent="0.3">
      <c r="A336" s="8">
        <v>44530</v>
      </c>
      <c r="C336" s="5" t="e">
        <f>IF(A336=Planilha1!#REF!,Planilha1!#REF!,"")</f>
        <v>#REF!</v>
      </c>
      <c r="D336" s="11" t="str">
        <f t="shared" si="11"/>
        <v>none</v>
      </c>
      <c r="E336" s="5" t="str">
        <f t="shared" si="10"/>
        <v/>
      </c>
    </row>
    <row r="337" spans="1:5" x14ac:dyDescent="0.3">
      <c r="A337" s="7">
        <v>44531</v>
      </c>
      <c r="C337" s="5" t="e">
        <f>IF(A337=Planilha1!#REF!,Planilha1!#REF!,"")</f>
        <v>#REF!</v>
      </c>
      <c r="D337" s="10" t="str">
        <f t="shared" si="11"/>
        <v>none</v>
      </c>
      <c r="E337" s="5" t="str">
        <f t="shared" si="10"/>
        <v/>
      </c>
    </row>
    <row r="338" spans="1:5" x14ac:dyDescent="0.3">
      <c r="A338" s="8">
        <v>44532</v>
      </c>
      <c r="C338" s="5" t="e">
        <f>IF(A338=Planilha1!#REF!,Planilha1!#REF!,"")</f>
        <v>#REF!</v>
      </c>
      <c r="D338" s="11" t="str">
        <f t="shared" si="11"/>
        <v>none</v>
      </c>
      <c r="E338" s="5" t="str">
        <f t="shared" si="10"/>
        <v/>
      </c>
    </row>
    <row r="339" spans="1:5" x14ac:dyDescent="0.3">
      <c r="A339" s="7">
        <v>44533</v>
      </c>
      <c r="C339" s="5" t="e">
        <f>IF(A339=Planilha1!#REF!,Planilha1!#REF!,"")</f>
        <v>#REF!</v>
      </c>
      <c r="D339" s="10" t="str">
        <f t="shared" si="11"/>
        <v>none</v>
      </c>
      <c r="E339" s="5" t="str">
        <f t="shared" si="10"/>
        <v/>
      </c>
    </row>
    <row r="340" spans="1:5" x14ac:dyDescent="0.3">
      <c r="A340" s="8">
        <v>44534</v>
      </c>
      <c r="C340" s="5" t="e">
        <f>IF(A340=Planilha1!#REF!,Planilha1!#REF!,"")</f>
        <v>#REF!</v>
      </c>
      <c r="D340" s="11" t="str">
        <f t="shared" si="11"/>
        <v>none</v>
      </c>
      <c r="E340" s="5" t="str">
        <f t="shared" si="10"/>
        <v/>
      </c>
    </row>
    <row r="341" spans="1:5" x14ac:dyDescent="0.3">
      <c r="A341" s="7">
        <v>44535</v>
      </c>
      <c r="C341" s="5" t="e">
        <f>IF(A341=Planilha1!#REF!,Planilha1!#REF!,"")</f>
        <v>#REF!</v>
      </c>
      <c r="D341" s="10" t="str">
        <f t="shared" si="11"/>
        <v>none</v>
      </c>
      <c r="E341" s="5" t="str">
        <f t="shared" si="10"/>
        <v>FERIADO</v>
      </c>
    </row>
    <row r="342" spans="1:5" x14ac:dyDescent="0.3">
      <c r="A342" s="8">
        <v>44536</v>
      </c>
      <c r="C342" s="5" t="e">
        <f>IF(A342=Planilha1!#REF!,Planilha1!#REF!,"")</f>
        <v>#REF!</v>
      </c>
      <c r="D342" s="11" t="str">
        <f t="shared" si="11"/>
        <v>none</v>
      </c>
      <c r="E342" s="5" t="str">
        <f t="shared" si="10"/>
        <v/>
      </c>
    </row>
    <row r="343" spans="1:5" x14ac:dyDescent="0.3">
      <c r="A343" s="7">
        <v>44537</v>
      </c>
      <c r="C343" s="5" t="e">
        <f>IF(A343=Planilha1!#REF!,Planilha1!#REF!,"")</f>
        <v>#REF!</v>
      </c>
      <c r="D343" s="10" t="str">
        <f t="shared" si="11"/>
        <v>none</v>
      </c>
      <c r="E343" s="5" t="str">
        <f t="shared" si="10"/>
        <v/>
      </c>
    </row>
    <row r="344" spans="1:5" x14ac:dyDescent="0.3">
      <c r="A344" s="8">
        <v>44538</v>
      </c>
      <c r="C344" s="5" t="e">
        <f>IF(A344=Planilha1!#REF!,Planilha1!#REF!,"")</f>
        <v>#REF!</v>
      </c>
      <c r="D344" s="11" t="str">
        <f t="shared" si="11"/>
        <v>none</v>
      </c>
      <c r="E344" s="5" t="str">
        <f t="shared" si="10"/>
        <v/>
      </c>
    </row>
    <row r="345" spans="1:5" x14ac:dyDescent="0.3">
      <c r="A345" s="7">
        <v>44539</v>
      </c>
      <c r="C345" s="5" t="e">
        <f>IF(A345=Planilha1!#REF!,Planilha1!#REF!,"")</f>
        <v>#REF!</v>
      </c>
      <c r="D345" s="10" t="str">
        <f t="shared" si="11"/>
        <v>none</v>
      </c>
      <c r="E345" s="5" t="str">
        <f t="shared" si="10"/>
        <v/>
      </c>
    </row>
    <row r="346" spans="1:5" x14ac:dyDescent="0.3">
      <c r="A346" s="8">
        <v>44540</v>
      </c>
      <c r="C346" s="5" t="e">
        <f>IF(A346=Planilha1!#REF!,Planilha1!#REF!,"")</f>
        <v>#REF!</v>
      </c>
      <c r="D346" s="11" t="str">
        <f t="shared" si="11"/>
        <v>none</v>
      </c>
      <c r="E346" s="5" t="str">
        <f t="shared" si="10"/>
        <v/>
      </c>
    </row>
    <row r="347" spans="1:5" x14ac:dyDescent="0.3">
      <c r="A347" s="7">
        <v>44541</v>
      </c>
      <c r="C347" s="5" t="e">
        <f>IF(A347=Planilha1!#REF!,Planilha1!#REF!,"")</f>
        <v>#REF!</v>
      </c>
      <c r="D347" s="10" t="str">
        <f t="shared" si="11"/>
        <v>none</v>
      </c>
      <c r="E347" s="5" t="str">
        <f t="shared" si="10"/>
        <v/>
      </c>
    </row>
    <row r="348" spans="1:5" x14ac:dyDescent="0.3">
      <c r="A348" s="8">
        <v>44542</v>
      </c>
      <c r="C348" s="5" t="e">
        <f>IF(A348=Planilha1!#REF!,Planilha1!#REF!,"")</f>
        <v>#REF!</v>
      </c>
      <c r="D348" s="11" t="str">
        <f t="shared" si="11"/>
        <v>none</v>
      </c>
      <c r="E348" s="5" t="str">
        <f t="shared" si="10"/>
        <v>FERIADO</v>
      </c>
    </row>
    <row r="349" spans="1:5" x14ac:dyDescent="0.3">
      <c r="A349" s="7">
        <v>44543</v>
      </c>
      <c r="C349" s="5" t="e">
        <f>IF(A349=Planilha1!#REF!,Planilha1!#REF!,"")</f>
        <v>#REF!</v>
      </c>
      <c r="D349" s="10" t="str">
        <f t="shared" si="11"/>
        <v>none</v>
      </c>
      <c r="E349" s="5" t="str">
        <f t="shared" si="10"/>
        <v/>
      </c>
    </row>
    <row r="350" spans="1:5" x14ac:dyDescent="0.3">
      <c r="A350" s="8">
        <v>44544</v>
      </c>
      <c r="C350" s="5" t="e">
        <f>IF(A350=Planilha1!#REF!,Planilha1!#REF!,"")</f>
        <v>#REF!</v>
      </c>
      <c r="D350" s="11" t="str">
        <f t="shared" si="11"/>
        <v>none</v>
      </c>
      <c r="E350" s="5" t="str">
        <f t="shared" si="10"/>
        <v/>
      </c>
    </row>
    <row r="351" spans="1:5" x14ac:dyDescent="0.3">
      <c r="A351" s="7">
        <v>44545</v>
      </c>
      <c r="C351" s="5" t="e">
        <f>IF(A351=Planilha1!#REF!,Planilha1!#REF!,"")</f>
        <v>#REF!</v>
      </c>
      <c r="D351" s="10" t="str">
        <f t="shared" si="11"/>
        <v>none</v>
      </c>
      <c r="E351" s="5" t="str">
        <f t="shared" si="10"/>
        <v/>
      </c>
    </row>
    <row r="352" spans="1:5" x14ac:dyDescent="0.3">
      <c r="A352" s="8">
        <v>44546</v>
      </c>
      <c r="C352" s="5" t="e">
        <f>IF(A352=Planilha1!#REF!,Planilha1!#REF!,"")</f>
        <v>#REF!</v>
      </c>
      <c r="D352" s="11" t="str">
        <f t="shared" si="11"/>
        <v>none</v>
      </c>
      <c r="E352" s="5" t="str">
        <f t="shared" si="10"/>
        <v/>
      </c>
    </row>
    <row r="353" spans="1:5" x14ac:dyDescent="0.3">
      <c r="A353" s="7">
        <v>44547</v>
      </c>
      <c r="C353" s="5" t="e">
        <f>IF(A353=Planilha1!#REF!,Planilha1!#REF!,"")</f>
        <v>#REF!</v>
      </c>
      <c r="D353" s="10" t="str">
        <f t="shared" si="11"/>
        <v>none</v>
      </c>
      <c r="E353" s="5" t="str">
        <f t="shared" si="10"/>
        <v/>
      </c>
    </row>
    <row r="354" spans="1:5" x14ac:dyDescent="0.3">
      <c r="A354" s="8">
        <v>44548</v>
      </c>
      <c r="C354" s="5" t="e">
        <f>IF(A354=Planilha1!#REF!,Planilha1!#REF!,"")</f>
        <v>#REF!</v>
      </c>
      <c r="D354" s="11" t="str">
        <f t="shared" si="11"/>
        <v>none</v>
      </c>
      <c r="E354" s="5" t="str">
        <f t="shared" si="10"/>
        <v/>
      </c>
    </row>
    <row r="355" spans="1:5" x14ac:dyDescent="0.3">
      <c r="A355" s="7">
        <v>44549</v>
      </c>
      <c r="C355" s="5" t="e">
        <f>IF(A355=Planilha1!#REF!,Planilha1!#REF!,"")</f>
        <v>#REF!</v>
      </c>
      <c r="D355" s="10" t="str">
        <f t="shared" si="11"/>
        <v>none</v>
      </c>
      <c r="E355" s="5" t="str">
        <f t="shared" si="10"/>
        <v>FERIADO</v>
      </c>
    </row>
    <row r="356" spans="1:5" x14ac:dyDescent="0.3">
      <c r="A356" s="8">
        <v>44550</v>
      </c>
      <c r="C356" s="5" t="e">
        <f>IF(A356=Planilha1!#REF!,Planilha1!#REF!,"")</f>
        <v>#REF!</v>
      </c>
      <c r="D356" s="11" t="str">
        <f t="shared" si="11"/>
        <v>none</v>
      </c>
      <c r="E356" s="5" t="str">
        <f t="shared" si="10"/>
        <v/>
      </c>
    </row>
    <row r="357" spans="1:5" x14ac:dyDescent="0.3">
      <c r="A357" s="7">
        <v>44551</v>
      </c>
      <c r="C357" s="5" t="e">
        <f>IF(A357=Planilha1!#REF!,Planilha1!#REF!,"")</f>
        <v>#REF!</v>
      </c>
      <c r="D357" s="10" t="str">
        <f t="shared" si="11"/>
        <v>none</v>
      </c>
      <c r="E357" s="5" t="str">
        <f t="shared" si="10"/>
        <v/>
      </c>
    </row>
    <row r="358" spans="1:5" x14ac:dyDescent="0.3">
      <c r="A358" s="8">
        <v>44552</v>
      </c>
      <c r="C358" s="5" t="e">
        <f>IF(A358=Planilha1!#REF!,Planilha1!#REF!,"")</f>
        <v>#REF!</v>
      </c>
      <c r="D358" s="11" t="str">
        <f t="shared" si="11"/>
        <v>none</v>
      </c>
      <c r="E358" s="5" t="str">
        <f t="shared" si="10"/>
        <v/>
      </c>
    </row>
    <row r="359" spans="1:5" x14ac:dyDescent="0.3">
      <c r="A359" s="7">
        <v>44553</v>
      </c>
      <c r="C359" s="5" t="e">
        <f>IF(A359=Planilha1!#REF!,Planilha1!#REF!,"")</f>
        <v>#REF!</v>
      </c>
      <c r="D359" s="10" t="str">
        <f t="shared" si="11"/>
        <v>none</v>
      </c>
      <c r="E359" s="5" t="str">
        <f t="shared" si="10"/>
        <v/>
      </c>
    </row>
    <row r="360" spans="1:5" x14ac:dyDescent="0.3">
      <c r="A360" s="8">
        <v>44554</v>
      </c>
      <c r="C360" s="5" t="e">
        <f>IF(A360=Planilha1!#REF!,Planilha1!#REF!,"")</f>
        <v>#REF!</v>
      </c>
      <c r="D360" s="11" t="str">
        <f t="shared" si="11"/>
        <v>none</v>
      </c>
      <c r="E360" s="5" t="str">
        <f t="shared" si="10"/>
        <v/>
      </c>
    </row>
    <row r="361" spans="1:5" x14ac:dyDescent="0.3">
      <c r="A361" s="7">
        <v>44555</v>
      </c>
      <c r="C361" s="5" t="e">
        <f>IF(A361=Planilha1!#REF!,Planilha1!#REF!,"")</f>
        <v>#REF!</v>
      </c>
      <c r="D361" s="10" t="str">
        <f t="shared" si="11"/>
        <v>none</v>
      </c>
      <c r="E361" s="5" t="str">
        <f t="shared" si="10"/>
        <v/>
      </c>
    </row>
    <row r="362" spans="1:5" x14ac:dyDescent="0.3">
      <c r="A362" s="8">
        <v>44556</v>
      </c>
      <c r="C362" s="5" t="e">
        <f>IF(A362=Planilha1!#REF!,Planilha1!#REF!,"")</f>
        <v>#REF!</v>
      </c>
      <c r="D362" s="11" t="str">
        <f t="shared" si="11"/>
        <v>none</v>
      </c>
      <c r="E362" s="5" t="str">
        <f t="shared" si="10"/>
        <v>FERIADO</v>
      </c>
    </row>
    <row r="363" spans="1:5" x14ac:dyDescent="0.3">
      <c r="A363" s="7">
        <v>44557</v>
      </c>
      <c r="C363" s="5" t="e">
        <f>IF(A363=Planilha1!#REF!,Planilha1!#REF!,"")</f>
        <v>#REF!</v>
      </c>
      <c r="D363" s="10" t="str">
        <f t="shared" si="11"/>
        <v>none</v>
      </c>
      <c r="E363" s="5" t="str">
        <f t="shared" si="10"/>
        <v/>
      </c>
    </row>
    <row r="364" spans="1:5" x14ac:dyDescent="0.3">
      <c r="A364" s="8">
        <v>44558</v>
      </c>
      <c r="C364" s="5" t="e">
        <f>IF(A364=Planilha1!#REF!,Planilha1!#REF!,"")</f>
        <v>#REF!</v>
      </c>
      <c r="D364" s="11" t="str">
        <f t="shared" si="11"/>
        <v>none</v>
      </c>
      <c r="E364" s="5" t="str">
        <f t="shared" si="10"/>
        <v/>
      </c>
    </row>
    <row r="365" spans="1:5" x14ac:dyDescent="0.3">
      <c r="A365" s="7">
        <v>44559</v>
      </c>
      <c r="C365" s="5" t="e">
        <f>IF(A365=Planilha1!#REF!,Planilha1!#REF!,"")</f>
        <v>#REF!</v>
      </c>
      <c r="D365" s="10" t="str">
        <f t="shared" si="11"/>
        <v>none</v>
      </c>
      <c r="E365" s="5" t="str">
        <f t="shared" si="10"/>
        <v/>
      </c>
    </row>
    <row r="366" spans="1:5" x14ac:dyDescent="0.3">
      <c r="A366" s="8">
        <v>44560</v>
      </c>
      <c r="D366" s="11" t="str">
        <f t="shared" si="11"/>
        <v>none</v>
      </c>
      <c r="E366" s="5" t="str">
        <f t="shared" si="10"/>
        <v/>
      </c>
    </row>
    <row r="367" spans="1:5" x14ac:dyDescent="0.3">
      <c r="A367" s="7">
        <v>44561</v>
      </c>
      <c r="D367" s="10" t="str">
        <f t="shared" si="11"/>
        <v>none</v>
      </c>
      <c r="E367" s="5" t="str">
        <f t="shared" si="10"/>
        <v/>
      </c>
    </row>
  </sheetData>
  <conditionalFormatting sqref="C3:C365 B3:C3">
    <cfRule type="containsText" dxfId="29" priority="17" stopIfTrue="1" operator="containsText" text="SEM AULA">
      <formula>NOT(ISERROR(SEARCH("SEM AULA",B3)))</formula>
    </cfRule>
  </conditionalFormatting>
  <conditionalFormatting sqref="E3:E367">
    <cfRule type="containsText" dxfId="28" priority="15" stopIfTrue="1" operator="containsText" text="FALTA">
      <formula>NOT(ISERROR(SEARCH("FALTA",E3)))</formula>
    </cfRule>
    <cfRule type="containsText" dxfId="27" priority="16" stopIfTrue="1" operator="containsText" text="PRESENÇA">
      <formula>NOT(ISERROR(SEARCH("PRESENÇA",E3)))</formula>
    </cfRule>
  </conditionalFormatting>
  <conditionalFormatting sqref="E3:E367">
    <cfRule type="containsText" dxfId="26" priority="14" stopIfTrue="1" operator="containsText" text="SEM AULA">
      <formula>NOT(ISERROR(SEARCH("SEM AULA",E3)))</formula>
    </cfRule>
  </conditionalFormatting>
  <conditionalFormatting sqref="E3:E367">
    <cfRule type="containsText" dxfId="25" priority="13" operator="containsText" text="FERIADO">
      <formula>NOT(ISERROR(SEARCH("FERIADO",E3)))</formula>
    </cfRule>
  </conditionalFormatting>
  <conditionalFormatting sqref="B3:B367">
    <cfRule type="containsText" dxfId="24" priority="10" stopIfTrue="1" operator="containsText" text="SEM AULA">
      <formula>NOT(ISERROR(SEARCH("SEM AULA",B3)))</formula>
    </cfRule>
    <cfRule type="containsText" dxfId="23" priority="11" stopIfTrue="1" operator="containsText" text="FALTA">
      <formula>NOT(ISERROR(SEARCH("FALTA",B3)))</formula>
    </cfRule>
    <cfRule type="containsText" dxfId="22" priority="12" stopIfTrue="1" operator="containsText" text="PRESENÇA">
      <formula>NOT(ISERROR(SEARCH("PRESENÇA",B3)))</formula>
    </cfRule>
  </conditionalFormatting>
  <conditionalFormatting sqref="H3">
    <cfRule type="colorScale" priority="1">
      <colorScale>
        <cfvo type="percent" val="0"/>
        <cfvo type="percentile" val="50"/>
        <cfvo type="percent" val="100"/>
        <color rgb="FFF8696B"/>
        <color rgb="FFFFEB84"/>
        <color rgb="FF63BE7B"/>
      </colorScale>
    </cfRule>
  </conditionalFormatting>
  <pageMargins left="0.511811024" right="0.511811024" top="0.78740157499999996" bottom="0.78740157499999996" header="0.31496062000000002" footer="0.31496062000000002"/>
  <extLst>
    <ext xmlns:x14="http://schemas.microsoft.com/office/spreadsheetml/2009/9/main" uri="{78C0D931-6437-407d-A8EE-F0AAD7539E65}">
      <x14:conditionalFormattings>
        <x14:conditionalFormatting xmlns:xm="http://schemas.microsoft.com/office/excel/2006/main">
          <x14:cfRule type="containsText" priority="2" operator="containsText" id="{DF1B92EA-9EE3-4229-839D-798A10078D2B}">
            <xm:f>NOT(ISERROR(SEARCH("-",D3)))</xm:f>
            <xm:f>"-"</xm:f>
            <x14:dxf>
              <font>
                <color rgb="FFFF0000"/>
              </font>
            </x14:dxf>
          </x14:cfRule>
          <xm:sqref>D3 D5 D7 D9 D11 D13 D15 D17 D19 D21 D23 D25 D27 D29 D31 D33 D35 D37 D39 D41 D43 D45 D47 D49 D51 D53 D55 D57 D59 D61 D63 D65 D67 D69 D71 D73 D75 D77 D79 D81 D83 D85 D87 D89 D91 D93 D95 D97 D99 D101 D103 D105 D107 D109 D111 D113 D115 D117 D119 D121 D123 D125 D127 D129 D131 D133 D135 D137 D139 D141 D143 D145 D147 D149 D151 D153 D155 D157 D159 D161 D163 D165 D167 D169 D171 D173 D175 D177 D179 D181 D183 D185 D187 D189 D191 D193 D195 D197 D199 D201 D203 D205 D207 D209 D211 D213 D215 D217 D219 D221 D223 D225 D227 D229 D231 D233 D235 D237 D239 D241 D243 D245 D247 D249 D251 D253 D255 D257 D259 D261 D263 D265 D267 D269 D271 D273 D275 D277 D279 D281 D283 D285 D287 D289 D291 D293 D295 D297 D299 D301 D303 D305 D307 D309 D311 D313 D315 D317 D319 D321 D323 D325 D327 D329 D331 D333 D335 D337 D339 D341 D343 D345 D347 D349 D351 D353 D355 D357 D359 D361 D363 D365 D367</xm:sqref>
        </x14:conditionalFormatting>
      </x14:conditionalFormatting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BEAE69F-BB36-497A-9AC5-77AD4E419FDF}">
  <sheetPr codeName="Planilha4"/>
  <dimension ref="A1:I126"/>
  <sheetViews>
    <sheetView showGridLines="0" showRowColHeaders="0" tabSelected="1" defaultGridColor="0" colorId="8" zoomScale="96" zoomScaleNormal="96" workbookViewId="0">
      <selection activeCell="A4" sqref="A4"/>
    </sheetView>
  </sheetViews>
  <sheetFormatPr defaultRowHeight="14.4" x14ac:dyDescent="0.3"/>
  <cols>
    <col min="1" max="1" width="13.88671875" customWidth="1"/>
    <col min="2" max="2" width="39.77734375" style="64" bestFit="1" customWidth="1"/>
    <col min="3" max="3" width="35.109375" style="64" bestFit="1" customWidth="1"/>
    <col min="4" max="4" width="13.77734375" style="64" bestFit="1" customWidth="1"/>
    <col min="5" max="5" width="39.109375" style="64" customWidth="1"/>
    <col min="6" max="6" width="13.6640625" style="64" customWidth="1"/>
    <col min="7" max="7" width="22.109375" style="64" customWidth="1"/>
    <col min="8" max="8" width="14.77734375" style="64" customWidth="1"/>
    <col min="9" max="9" width="23.109375" style="59" customWidth="1"/>
    <col min="10" max="10" width="48.33203125" style="58" bestFit="1" customWidth="1"/>
    <col min="11" max="11" width="36.5546875" style="58" customWidth="1"/>
    <col min="12" max="16384" width="8.88671875" style="58"/>
  </cols>
  <sheetData>
    <row r="1" spans="1:9" ht="17.399999999999999" customHeight="1" x14ac:dyDescent="0.3">
      <c r="A1" s="23"/>
      <c r="B1" s="23"/>
      <c r="C1" s="23"/>
      <c r="D1" s="23"/>
      <c r="E1" s="23"/>
      <c r="F1" s="23"/>
      <c r="G1" s="23"/>
      <c r="H1" s="23"/>
      <c r="I1" s="44"/>
    </row>
    <row r="2" spans="1:9" ht="27" customHeight="1" x14ac:dyDescent="0.3">
      <c r="A2" s="20" t="s">
        <v>37</v>
      </c>
      <c r="B2" s="69" t="s">
        <v>18</v>
      </c>
      <c r="C2" s="51" t="s">
        <v>20</v>
      </c>
      <c r="D2" s="51" t="s">
        <v>19</v>
      </c>
      <c r="E2" s="51" t="s">
        <v>21</v>
      </c>
      <c r="F2" s="51" t="s">
        <v>22</v>
      </c>
      <c r="G2" s="51" t="s">
        <v>34</v>
      </c>
      <c r="H2" s="51" t="s">
        <v>38</v>
      </c>
      <c r="I2" s="102"/>
    </row>
    <row r="3" spans="1:9" x14ac:dyDescent="0.3">
      <c r="A3" s="48">
        <v>0</v>
      </c>
      <c r="B3" s="70" t="s">
        <v>48</v>
      </c>
      <c r="C3" s="67">
        <v>44561</v>
      </c>
      <c r="D3" s="66" t="s">
        <v>9</v>
      </c>
      <c r="E3" s="67"/>
      <c r="F3" s="66"/>
      <c r="G3" s="68" t="s">
        <v>50</v>
      </c>
      <c r="H3" s="68"/>
      <c r="I3" s="102"/>
    </row>
    <row r="4" spans="1:9" ht="14.4" customHeight="1" x14ac:dyDescent="0.3">
      <c r="A4" s="47">
        <v>7</v>
      </c>
      <c r="B4" s="71" t="s">
        <v>55</v>
      </c>
      <c r="C4" s="53">
        <v>44515</v>
      </c>
      <c r="D4" s="52" t="s">
        <v>61</v>
      </c>
      <c r="E4" s="53">
        <v>44514</v>
      </c>
      <c r="F4" s="52" t="s">
        <v>36</v>
      </c>
      <c r="G4" s="52" t="s">
        <v>35</v>
      </c>
      <c r="H4" s="52"/>
      <c r="I4" s="102"/>
    </row>
    <row r="5" spans="1:9" ht="14.4" customHeight="1" x14ac:dyDescent="0.3">
      <c r="A5" s="46">
        <v>1</v>
      </c>
      <c r="B5" s="71" t="s">
        <v>39</v>
      </c>
      <c r="C5" s="53">
        <v>44487</v>
      </c>
      <c r="D5" s="52" t="s">
        <v>49</v>
      </c>
      <c r="E5" s="53">
        <v>44242</v>
      </c>
      <c r="F5" s="52" t="s">
        <v>36</v>
      </c>
      <c r="G5" s="52" t="s">
        <v>32</v>
      </c>
      <c r="H5" s="57">
        <v>44256</v>
      </c>
      <c r="I5" s="102"/>
    </row>
    <row r="6" spans="1:9" ht="14.4" customHeight="1" x14ac:dyDescent="0.3">
      <c r="A6" s="45">
        <v>5</v>
      </c>
      <c r="B6" s="72" t="s">
        <v>52</v>
      </c>
      <c r="C6" s="56">
        <v>44487</v>
      </c>
      <c r="D6" s="54" t="s">
        <v>49</v>
      </c>
      <c r="E6" s="56">
        <v>44479</v>
      </c>
      <c r="F6" s="54" t="s">
        <v>36</v>
      </c>
      <c r="G6" s="52" t="s">
        <v>33</v>
      </c>
      <c r="H6" s="49"/>
      <c r="I6" s="102"/>
    </row>
    <row r="7" spans="1:9" ht="14.4" customHeight="1" x14ac:dyDescent="0.3">
      <c r="A7" s="45">
        <v>8</v>
      </c>
      <c r="B7" s="72" t="s">
        <v>64</v>
      </c>
      <c r="C7" s="55">
        <v>44341</v>
      </c>
      <c r="D7" s="54" t="s">
        <v>58</v>
      </c>
      <c r="E7" s="56">
        <v>44330</v>
      </c>
      <c r="F7" s="54" t="s">
        <v>36</v>
      </c>
      <c r="G7" s="77" t="s">
        <v>33</v>
      </c>
      <c r="H7" s="49"/>
      <c r="I7" s="102"/>
    </row>
    <row r="8" spans="1:9" ht="14.4" customHeight="1" x14ac:dyDescent="0.3">
      <c r="A8" s="45">
        <v>3</v>
      </c>
      <c r="B8" s="72" t="s">
        <v>51</v>
      </c>
      <c r="C8" s="56">
        <v>44334</v>
      </c>
      <c r="D8" s="54" t="s">
        <v>58</v>
      </c>
      <c r="E8" s="56">
        <v>44306</v>
      </c>
      <c r="F8" s="54" t="s">
        <v>36</v>
      </c>
      <c r="G8" s="52" t="s">
        <v>35</v>
      </c>
      <c r="H8" s="49"/>
      <c r="I8" s="102"/>
    </row>
    <row r="9" spans="1:9" x14ac:dyDescent="0.3">
      <c r="A9" s="47">
        <v>4</v>
      </c>
      <c r="B9" s="71" t="s">
        <v>51</v>
      </c>
      <c r="C9" s="53">
        <v>44334</v>
      </c>
      <c r="D9" s="54" t="s">
        <v>57</v>
      </c>
      <c r="E9" s="53">
        <v>44306</v>
      </c>
      <c r="F9" s="52" t="s">
        <v>36</v>
      </c>
      <c r="G9" s="52" t="s">
        <v>32</v>
      </c>
      <c r="H9" s="49"/>
      <c r="I9" s="102"/>
    </row>
    <row r="10" spans="1:9" x14ac:dyDescent="0.3">
      <c r="A10" s="73">
        <v>7</v>
      </c>
      <c r="B10" s="75" t="s">
        <v>54</v>
      </c>
      <c r="C10" s="56">
        <v>44301</v>
      </c>
      <c r="D10" s="54" t="s">
        <v>59</v>
      </c>
      <c r="E10" s="56">
        <v>44275</v>
      </c>
      <c r="F10" s="76" t="s">
        <v>36</v>
      </c>
      <c r="G10" s="49" t="s">
        <v>50</v>
      </c>
      <c r="H10" s="49"/>
      <c r="I10" s="102"/>
    </row>
    <row r="11" spans="1:9" x14ac:dyDescent="0.3">
      <c r="A11" s="48">
        <v>2</v>
      </c>
      <c r="B11" s="74" t="s">
        <v>53</v>
      </c>
      <c r="C11" s="50">
        <v>44280</v>
      </c>
      <c r="D11" s="49" t="s">
        <v>56</v>
      </c>
      <c r="E11" s="50">
        <v>44252</v>
      </c>
      <c r="F11" s="49" t="s">
        <v>36</v>
      </c>
      <c r="G11" s="49" t="s">
        <v>35</v>
      </c>
      <c r="H11" s="49"/>
      <c r="I11" s="102"/>
    </row>
    <row r="12" spans="1:9" x14ac:dyDescent="0.3">
      <c r="A12" s="78"/>
      <c r="B12" s="79" t="s">
        <v>48</v>
      </c>
      <c r="C12" s="80">
        <v>44197</v>
      </c>
      <c r="D12" s="81" t="s">
        <v>10</v>
      </c>
      <c r="E12" s="80"/>
      <c r="F12" s="81"/>
      <c r="G12" s="82" t="s">
        <v>50</v>
      </c>
      <c r="H12" s="82"/>
      <c r="I12" s="102"/>
    </row>
    <row r="13" spans="1:9" x14ac:dyDescent="0.3">
      <c r="A13" s="6"/>
      <c r="B13" s="62"/>
      <c r="C13" s="63"/>
      <c r="E13" s="63"/>
      <c r="F13" s="65"/>
      <c r="I13" s="102"/>
    </row>
    <row r="14" spans="1:9" x14ac:dyDescent="0.3">
      <c r="G14" s="64" t="s">
        <v>35</v>
      </c>
      <c r="I14" s="102"/>
    </row>
    <row r="15" spans="1:9" x14ac:dyDescent="0.3">
      <c r="I15" s="102"/>
    </row>
    <row r="16" spans="1:9" x14ac:dyDescent="0.3">
      <c r="I16" s="102"/>
    </row>
    <row r="17" spans="9:9" x14ac:dyDescent="0.3">
      <c r="I17" s="102"/>
    </row>
    <row r="18" spans="9:9" x14ac:dyDescent="0.3">
      <c r="I18" s="102"/>
    </row>
    <row r="19" spans="9:9" x14ac:dyDescent="0.3">
      <c r="I19" s="102"/>
    </row>
    <row r="20" spans="9:9" x14ac:dyDescent="0.3">
      <c r="I20" s="102"/>
    </row>
    <row r="21" spans="9:9" x14ac:dyDescent="0.3">
      <c r="I21" s="102"/>
    </row>
    <row r="22" spans="9:9" x14ac:dyDescent="0.3">
      <c r="I22" s="102"/>
    </row>
    <row r="23" spans="9:9" x14ac:dyDescent="0.3">
      <c r="I23" s="102"/>
    </row>
    <row r="24" spans="9:9" x14ac:dyDescent="0.3">
      <c r="I24" s="102"/>
    </row>
    <row r="25" spans="9:9" x14ac:dyDescent="0.3">
      <c r="I25" s="102"/>
    </row>
    <row r="26" spans="9:9" x14ac:dyDescent="0.3">
      <c r="I26" s="102"/>
    </row>
    <row r="27" spans="9:9" x14ac:dyDescent="0.3">
      <c r="I27" s="102"/>
    </row>
    <row r="28" spans="9:9" x14ac:dyDescent="0.3">
      <c r="I28" s="102"/>
    </row>
    <row r="29" spans="9:9" x14ac:dyDescent="0.3">
      <c r="I29" s="102"/>
    </row>
    <row r="30" spans="9:9" x14ac:dyDescent="0.3">
      <c r="I30" s="102"/>
    </row>
    <row r="31" spans="9:9" x14ac:dyDescent="0.3">
      <c r="I31" s="102"/>
    </row>
    <row r="32" spans="9:9" x14ac:dyDescent="0.3">
      <c r="I32" s="102"/>
    </row>
    <row r="33" spans="9:9" x14ac:dyDescent="0.3">
      <c r="I33" s="102"/>
    </row>
    <row r="34" spans="9:9" x14ac:dyDescent="0.3">
      <c r="I34" s="102"/>
    </row>
    <row r="35" spans="9:9" x14ac:dyDescent="0.3">
      <c r="I35" s="102"/>
    </row>
    <row r="36" spans="9:9" x14ac:dyDescent="0.3">
      <c r="I36" s="102"/>
    </row>
    <row r="37" spans="9:9" x14ac:dyDescent="0.3">
      <c r="I37" s="102"/>
    </row>
    <row r="38" spans="9:9" x14ac:dyDescent="0.3">
      <c r="I38" s="102"/>
    </row>
    <row r="39" spans="9:9" x14ac:dyDescent="0.3">
      <c r="I39" s="102"/>
    </row>
    <row r="40" spans="9:9" x14ac:dyDescent="0.3">
      <c r="I40" s="102"/>
    </row>
    <row r="41" spans="9:9" x14ac:dyDescent="0.3">
      <c r="I41" s="102"/>
    </row>
    <row r="42" spans="9:9" x14ac:dyDescent="0.3">
      <c r="I42" s="102"/>
    </row>
    <row r="43" spans="9:9" x14ac:dyDescent="0.3">
      <c r="I43" s="102"/>
    </row>
    <row r="44" spans="9:9" x14ac:dyDescent="0.3">
      <c r="I44" s="102"/>
    </row>
    <row r="45" spans="9:9" x14ac:dyDescent="0.3">
      <c r="I45" s="102"/>
    </row>
    <row r="46" spans="9:9" x14ac:dyDescent="0.3">
      <c r="I46" s="102"/>
    </row>
    <row r="47" spans="9:9" x14ac:dyDescent="0.3">
      <c r="I47" s="102"/>
    </row>
    <row r="48" spans="9:9" x14ac:dyDescent="0.3">
      <c r="I48" s="102"/>
    </row>
    <row r="49" spans="8:9" x14ac:dyDescent="0.3">
      <c r="I49" s="102"/>
    </row>
    <row r="50" spans="8:9" x14ac:dyDescent="0.3">
      <c r="I50" s="102"/>
    </row>
    <row r="51" spans="8:9" x14ac:dyDescent="0.3">
      <c r="I51" s="102"/>
    </row>
    <row r="52" spans="8:9" x14ac:dyDescent="0.3">
      <c r="I52" s="102"/>
    </row>
    <row r="53" spans="8:9" x14ac:dyDescent="0.3">
      <c r="I53" s="102"/>
    </row>
    <row r="54" spans="8:9" x14ac:dyDescent="0.3">
      <c r="I54" s="102"/>
    </row>
    <row r="55" spans="8:9" x14ac:dyDescent="0.3">
      <c r="I55" s="102"/>
    </row>
    <row r="56" spans="8:9" x14ac:dyDescent="0.3">
      <c r="I56" s="102"/>
    </row>
    <row r="57" spans="8:9" x14ac:dyDescent="0.3">
      <c r="I57" s="102"/>
    </row>
    <row r="58" spans="8:9" x14ac:dyDescent="0.3">
      <c r="I58" s="102"/>
    </row>
    <row r="59" spans="8:9" x14ac:dyDescent="0.3">
      <c r="I59" s="102"/>
    </row>
    <row r="60" spans="8:9" x14ac:dyDescent="0.3">
      <c r="H60" s="65"/>
      <c r="I60" s="102"/>
    </row>
    <row r="61" spans="8:9" x14ac:dyDescent="0.3">
      <c r="H61" s="65"/>
      <c r="I61" s="102"/>
    </row>
    <row r="62" spans="8:9" x14ac:dyDescent="0.3">
      <c r="H62" s="65"/>
      <c r="I62" s="102"/>
    </row>
    <row r="63" spans="8:9" x14ac:dyDescent="0.3">
      <c r="H63" s="65"/>
      <c r="I63" s="102"/>
    </row>
    <row r="64" spans="8:9" x14ac:dyDescent="0.3">
      <c r="H64" s="65"/>
      <c r="I64" s="102"/>
    </row>
    <row r="65" spans="8:9" x14ac:dyDescent="0.3">
      <c r="H65" s="65"/>
      <c r="I65" s="102"/>
    </row>
    <row r="66" spans="8:9" x14ac:dyDescent="0.3">
      <c r="H66" s="65"/>
      <c r="I66" s="102"/>
    </row>
    <row r="67" spans="8:9" x14ac:dyDescent="0.3">
      <c r="H67" s="65"/>
    </row>
    <row r="68" spans="8:9" x14ac:dyDescent="0.3">
      <c r="H68" s="65"/>
    </row>
    <row r="69" spans="8:9" x14ac:dyDescent="0.3">
      <c r="H69" s="65"/>
    </row>
    <row r="70" spans="8:9" x14ac:dyDescent="0.3">
      <c r="H70" s="65"/>
    </row>
    <row r="71" spans="8:9" x14ac:dyDescent="0.3">
      <c r="H71" s="65"/>
    </row>
    <row r="72" spans="8:9" x14ac:dyDescent="0.3">
      <c r="H72" s="65"/>
    </row>
    <row r="73" spans="8:9" x14ac:dyDescent="0.3">
      <c r="H73" s="65"/>
    </row>
    <row r="74" spans="8:9" x14ac:dyDescent="0.3">
      <c r="H74" s="65"/>
    </row>
    <row r="75" spans="8:9" x14ac:dyDescent="0.3">
      <c r="H75" s="65"/>
    </row>
    <row r="76" spans="8:9" x14ac:dyDescent="0.3">
      <c r="H76" s="65"/>
    </row>
    <row r="77" spans="8:9" x14ac:dyDescent="0.3">
      <c r="H77" s="65"/>
    </row>
    <row r="78" spans="8:9" x14ac:dyDescent="0.3">
      <c r="H78" s="65"/>
    </row>
    <row r="79" spans="8:9" x14ac:dyDescent="0.3">
      <c r="H79" s="65"/>
    </row>
    <row r="80" spans="8:9" x14ac:dyDescent="0.3">
      <c r="H80" s="65"/>
    </row>
    <row r="81" spans="8:8" x14ac:dyDescent="0.3">
      <c r="H81" s="65"/>
    </row>
    <row r="82" spans="8:8" x14ac:dyDescent="0.3">
      <c r="H82" s="65"/>
    </row>
    <row r="83" spans="8:8" x14ac:dyDescent="0.3">
      <c r="H83" s="65"/>
    </row>
    <row r="84" spans="8:8" x14ac:dyDescent="0.3">
      <c r="H84" s="65"/>
    </row>
    <row r="85" spans="8:8" x14ac:dyDescent="0.3">
      <c r="H85" s="65"/>
    </row>
    <row r="86" spans="8:8" x14ac:dyDescent="0.3">
      <c r="H86" s="65"/>
    </row>
    <row r="87" spans="8:8" x14ac:dyDescent="0.3">
      <c r="H87" s="65"/>
    </row>
    <row r="88" spans="8:8" x14ac:dyDescent="0.3">
      <c r="H88" s="65"/>
    </row>
    <row r="89" spans="8:8" x14ac:dyDescent="0.3">
      <c r="H89" s="65"/>
    </row>
    <row r="90" spans="8:8" x14ac:dyDescent="0.3">
      <c r="H90" s="65"/>
    </row>
    <row r="91" spans="8:8" x14ac:dyDescent="0.3">
      <c r="H91" s="65"/>
    </row>
    <row r="92" spans="8:8" x14ac:dyDescent="0.3">
      <c r="H92" s="65"/>
    </row>
    <row r="93" spans="8:8" x14ac:dyDescent="0.3">
      <c r="H93" s="65"/>
    </row>
    <row r="94" spans="8:8" x14ac:dyDescent="0.3">
      <c r="H94" s="65"/>
    </row>
    <row r="95" spans="8:8" x14ac:dyDescent="0.3">
      <c r="H95" s="65"/>
    </row>
    <row r="96" spans="8:8" x14ac:dyDescent="0.3">
      <c r="H96" s="65"/>
    </row>
    <row r="97" spans="8:8" x14ac:dyDescent="0.3">
      <c r="H97" s="65"/>
    </row>
    <row r="98" spans="8:8" x14ac:dyDescent="0.3">
      <c r="H98" s="65"/>
    </row>
    <row r="99" spans="8:8" x14ac:dyDescent="0.3">
      <c r="H99" s="65"/>
    </row>
    <row r="100" spans="8:8" x14ac:dyDescent="0.3">
      <c r="H100" s="65"/>
    </row>
    <row r="101" spans="8:8" x14ac:dyDescent="0.3">
      <c r="H101" s="65"/>
    </row>
    <row r="102" spans="8:8" x14ac:dyDescent="0.3">
      <c r="H102" s="65"/>
    </row>
    <row r="103" spans="8:8" x14ac:dyDescent="0.3">
      <c r="H103" s="65"/>
    </row>
    <row r="104" spans="8:8" x14ac:dyDescent="0.3">
      <c r="H104" s="65"/>
    </row>
    <row r="105" spans="8:8" x14ac:dyDescent="0.3">
      <c r="H105" s="65"/>
    </row>
    <row r="106" spans="8:8" x14ac:dyDescent="0.3">
      <c r="H106" s="65"/>
    </row>
    <row r="107" spans="8:8" x14ac:dyDescent="0.3">
      <c r="H107" s="65"/>
    </row>
    <row r="108" spans="8:8" x14ac:dyDescent="0.3">
      <c r="H108" s="65"/>
    </row>
    <row r="109" spans="8:8" x14ac:dyDescent="0.3">
      <c r="H109" s="65"/>
    </row>
    <row r="110" spans="8:8" x14ac:dyDescent="0.3">
      <c r="H110" s="65"/>
    </row>
    <row r="111" spans="8:8" x14ac:dyDescent="0.3">
      <c r="H111" s="65"/>
    </row>
    <row r="112" spans="8:8" x14ac:dyDescent="0.3">
      <c r="H112" s="65"/>
    </row>
    <row r="113" spans="8:8" x14ac:dyDescent="0.3">
      <c r="H113" s="65"/>
    </row>
    <row r="114" spans="8:8" x14ac:dyDescent="0.3">
      <c r="H114" s="65"/>
    </row>
    <row r="115" spans="8:8" x14ac:dyDescent="0.3">
      <c r="H115" s="65"/>
    </row>
    <row r="116" spans="8:8" x14ac:dyDescent="0.3">
      <c r="H116" s="65"/>
    </row>
    <row r="117" spans="8:8" x14ac:dyDescent="0.3">
      <c r="H117" s="65"/>
    </row>
    <row r="118" spans="8:8" x14ac:dyDescent="0.3">
      <c r="H118" s="65"/>
    </row>
    <row r="119" spans="8:8" x14ac:dyDescent="0.3">
      <c r="H119" s="65"/>
    </row>
    <row r="120" spans="8:8" x14ac:dyDescent="0.3">
      <c r="H120" s="65"/>
    </row>
    <row r="121" spans="8:8" x14ac:dyDescent="0.3">
      <c r="H121" s="65"/>
    </row>
    <row r="122" spans="8:8" x14ac:dyDescent="0.3">
      <c r="H122" s="65"/>
    </row>
    <row r="123" spans="8:8" x14ac:dyDescent="0.3">
      <c r="H123" s="65"/>
    </row>
    <row r="124" spans="8:8" x14ac:dyDescent="0.3">
      <c r="H124" s="65"/>
    </row>
    <row r="125" spans="8:8" x14ac:dyDescent="0.3">
      <c r="H125" s="65"/>
    </row>
    <row r="126" spans="8:8" x14ac:dyDescent="0.3">
      <c r="H126" s="65"/>
    </row>
  </sheetData>
  <mergeCells count="1">
    <mergeCell ref="I2:I66"/>
  </mergeCells>
  <phoneticPr fontId="2" type="noConversion"/>
  <conditionalFormatting sqref="H60:H126">
    <cfRule type="containsText" dxfId="20" priority="23" stopIfTrue="1" operator="containsText" text="nice">
      <formula>NOT(ISERROR(SEARCH("nice",H60)))</formula>
    </cfRule>
    <cfRule type="containsText" dxfId="19" priority="24" stopIfTrue="1" operator="containsText" text="EM ATRASO">
      <formula>NOT(ISERROR(SEARCH("EM ATRASO",H60)))</formula>
    </cfRule>
  </conditionalFormatting>
  <conditionalFormatting sqref="H4">
    <cfRule type="dataBar" priority="12">
      <dataBar showValue="0">
        <cfvo type="num" val="$E$4"/>
        <cfvo type="num" val="$C$4"/>
        <color rgb="FF638EC6"/>
      </dataBar>
      <extLst>
        <ext xmlns:x14="http://schemas.microsoft.com/office/spreadsheetml/2009/9/main" uri="{B025F937-C7B1-47D3-B67F-A62EFF666E3E}">
          <x14:id>{D26AC40D-D0D4-43A9-B166-F33945D613C7}</x14:id>
        </ext>
      </extLst>
    </cfRule>
  </conditionalFormatting>
  <conditionalFormatting sqref="G4:G9">
    <cfRule type="containsText" dxfId="18" priority="6" stopIfTrue="1" operator="containsText" text="PENDENTE">
      <formula>NOT(ISERROR(SEARCH("PENDENTE",G4)))</formula>
    </cfRule>
    <cfRule type="containsText" dxfId="17" priority="7" stopIfTrue="1" operator="containsText" text="ENTREGUE COM ATRASO">
      <formula>NOT(ISERROR(SEARCH("ENTREGUE COM ATRASO",G4)))</formula>
    </cfRule>
    <cfRule type="iconSet" priority="9">
      <iconSet iconSet="3Symbols2">
        <cfvo type="percent" val="0"/>
        <cfvo type="num" val="&quot;eiei&quot;"/>
        <cfvo type="num" val="&quot;nice&quot;"/>
      </iconSet>
    </cfRule>
    <cfRule type="containsText" dxfId="16" priority="10" stopIfTrue="1" operator="containsText" text="ENTREGUE">
      <formula>NOT(ISERROR(SEARCH("ENTREGUE",G4)))</formula>
    </cfRule>
  </conditionalFormatting>
  <conditionalFormatting sqref="D4:D11">
    <cfRule type="containsText" dxfId="15" priority="2" stopIfTrue="1" operator="containsText" text="ED">
      <formula>NOT(ISERROR(SEARCH("ED",D4)))</formula>
    </cfRule>
    <cfRule type="containsText" dxfId="14" priority="3" stopIfTrue="1" operator="containsText" text="PORTUGUÊS">
      <formula>NOT(ISERROR(SEARCH("PORTUGUÊS",D4)))</formula>
    </cfRule>
    <cfRule type="containsText" dxfId="13" priority="5" stopIfTrue="1" operator="containsText" text="INGLÊS">
      <formula>NOT(ISERROR(SEARCH("INGLÊS",D4)))</formula>
    </cfRule>
    <cfRule type="containsText" dxfId="12" priority="11" stopIfTrue="1" operator="containsText" text="MATEMÁTICA">
      <formula>NOT(ISERROR(SEARCH("MATEMÁTICA",D4)))</formula>
    </cfRule>
  </conditionalFormatting>
  <conditionalFormatting sqref="D5:D11">
    <cfRule type="containsText" dxfId="11" priority="1" stopIfTrue="1" operator="containsText" text="FÍSICA">
      <formula>NOT(ISERROR(SEARCH("FÍSICA",D5)))</formula>
    </cfRule>
    <cfRule type="containsText" dxfId="10" priority="4" stopIfTrue="1" operator="containsText" text="QUÍMICA">
      <formula>NOT(ISERROR(SEARCH("QUÍMICA",D5)))</formula>
    </cfRule>
  </conditionalFormatting>
  <dataValidations count="2">
    <dataValidation type="date" allowBlank="1" showInputMessage="1" showErrorMessage="1" sqref="C3:C8 E3:E8" xr:uid="{AE20523B-1854-4D86-80D7-8DDC05472D17}">
      <formula1>44197</formula1>
      <formula2>44561</formula2>
    </dataValidation>
    <dataValidation type="textLength" allowBlank="1" showInputMessage="1" showErrorMessage="1" sqref="B3:B8" xr:uid="{120332EE-DD88-4130-99C5-7D1646090755}">
      <formula1>0</formula1>
      <formula2>38</formula2>
    </dataValidation>
  </dataValidations>
  <pageMargins left="0.511811024" right="0.511811024" top="0.78740157499999996" bottom="0.78740157499999996" header="0.31496062000000002" footer="0.31496062000000002"/>
  <pageSetup paperSize="9" orientation="portrait" horizontalDpi="0" verticalDpi="0" r:id="rId1"/>
  <drawing r:id="rId2"/>
  <tableParts count="1">
    <tablePart r:id="rId3"/>
  </tableParts>
  <extLst>
    <ext xmlns:x14="http://schemas.microsoft.com/office/spreadsheetml/2009/9/main" uri="{78C0D931-6437-407d-A8EE-F0AAD7539E65}">
      <x14:conditionalFormattings>
        <x14:conditionalFormatting xmlns:xm="http://schemas.microsoft.com/office/excel/2006/main">
          <x14:cfRule type="dataBar" id="{D26AC40D-D0D4-43A9-B166-F33945D613C7}">
            <x14:dataBar minLength="0" maxLength="100" gradient="0">
              <x14:cfvo type="num">
                <xm:f>$E$4</xm:f>
              </x14:cfvo>
              <x14:cfvo type="num">
                <xm:f>$C$4</xm:f>
              </x14:cfvo>
              <x14:negativeFillColor rgb="FFFF0000"/>
              <x14:axisColor rgb="FF000000"/>
            </x14:dataBar>
          </x14:cfRule>
          <xm:sqref>H4</xm:sqref>
        </x14:conditionalFormatting>
      </x14:conditionalFormattings>
    </ext>
    <ext xmlns:x14="http://schemas.microsoft.com/office/spreadsheetml/2009/9/main" uri="{CCE6A557-97BC-4b89-ADB6-D9C93CAAB3DF}">
      <x14:dataValidations xmlns:xm="http://schemas.microsoft.com/office/excel/2006/main" count="2">
        <x14:dataValidation type="list" allowBlank="1" showInputMessage="1" showErrorMessage="1" xr:uid="{80525A78-6758-4E48-BDB3-70FFCCF4415D}">
          <x14:formula1>
            <xm:f>Planilha3!$E$1:$E$10</xm:f>
          </x14:formula1>
          <xm:sqref>D3:D10</xm:sqref>
        </x14:dataValidation>
        <x14:dataValidation type="list" allowBlank="1" showInputMessage="1" showErrorMessage="1" xr:uid="{FF5388DC-8E57-4D5C-968E-8D76DE702C4A}">
          <x14:formula1>
            <xm:f>Planilha3!$G$1:$G$4</xm:f>
          </x14:formula1>
          <xm:sqref>G3:G12</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C675C9F-8AC5-4E65-B670-C30615CED181}">
  <sheetPr codeName="Planilha5"/>
  <dimension ref="A1:M202"/>
  <sheetViews>
    <sheetView defaultGridColor="0" colorId="63" zoomScale="205" zoomScaleNormal="205" workbookViewId="0">
      <selection activeCell="B2" sqref="B2"/>
    </sheetView>
  </sheetViews>
  <sheetFormatPr defaultRowHeight="14.4" x14ac:dyDescent="0.3"/>
  <cols>
    <col min="1" max="1" width="42.109375" bestFit="1" customWidth="1"/>
    <col min="2" max="2" width="46.6640625" customWidth="1"/>
    <col min="3" max="3" width="10.21875" customWidth="1"/>
    <col min="4" max="4" width="14" bestFit="1" customWidth="1"/>
    <col min="5" max="5" width="40.21875" bestFit="1" customWidth="1"/>
    <col min="6" max="6" width="35.44140625" bestFit="1" customWidth="1"/>
    <col min="7" max="7" width="13.88671875" bestFit="1" customWidth="1"/>
    <col min="8" max="8" width="35.88671875" customWidth="1"/>
    <col min="9" max="9" width="13.77734375" bestFit="1" customWidth="1"/>
    <col min="10" max="10" width="12.33203125" bestFit="1" customWidth="1"/>
    <col min="11" max="11" width="13" bestFit="1" customWidth="1"/>
    <col min="13" max="13" width="10.88671875" bestFit="1" customWidth="1"/>
  </cols>
  <sheetData>
    <row r="1" spans="1:13" ht="24" customHeight="1" x14ac:dyDescent="0.3">
      <c r="A1" s="24">
        <f ca="1">TODAY()</f>
        <v>44205</v>
      </c>
      <c r="B1" s="25">
        <f>IF(Planilha5!$B$2&lt;&gt;"",COUNTA(Planilha4!$A$3:$A$53),"")</f>
        <v>9</v>
      </c>
      <c r="C1" s="23"/>
    </row>
    <row r="2" spans="1:13" ht="18" customHeight="1" x14ac:dyDescent="0.3">
      <c r="A2" s="39" t="s">
        <v>18</v>
      </c>
      <c r="B2" s="60" t="s">
        <v>62</v>
      </c>
      <c r="C2" s="23"/>
    </row>
    <row r="3" spans="1:13" ht="18" customHeight="1" x14ac:dyDescent="0.3">
      <c r="A3" s="39" t="s">
        <v>20</v>
      </c>
      <c r="B3" s="61">
        <v>44341</v>
      </c>
      <c r="C3" s="23"/>
    </row>
    <row r="4" spans="1:13" ht="18" customHeight="1" x14ac:dyDescent="0.3">
      <c r="A4" s="39" t="s">
        <v>19</v>
      </c>
      <c r="B4" s="60" t="s">
        <v>58</v>
      </c>
      <c r="C4" s="23"/>
    </row>
    <row r="5" spans="1:13" ht="18" customHeight="1" x14ac:dyDescent="0.3">
      <c r="A5" s="39" t="s">
        <v>21</v>
      </c>
      <c r="B5" s="61">
        <v>44330</v>
      </c>
      <c r="C5" s="23"/>
    </row>
    <row r="6" spans="1:13" ht="15.6" x14ac:dyDescent="0.3">
      <c r="A6" s="39" t="s">
        <v>22</v>
      </c>
      <c r="B6" s="61" t="s">
        <v>63</v>
      </c>
      <c r="C6" s="23"/>
    </row>
    <row r="9" spans="1:13" x14ac:dyDescent="0.3">
      <c r="D9" s="26"/>
      <c r="E9" s="26"/>
      <c r="F9" s="26"/>
      <c r="G9" s="26"/>
      <c r="H9" s="26"/>
      <c r="I9" s="26"/>
      <c r="J9" s="26"/>
      <c r="K9" s="26"/>
      <c r="L9" t="str">
        <f>SUBSTITUTE(Planilha4!I11,Planilha4!I11,Planilha4!I11,1)</f>
        <v/>
      </c>
      <c r="M9" t="str">
        <f>SUBSTITUTE(Planilha4!J11,Planilha4!J11,Planilha4!J11,1)</f>
        <v/>
      </c>
    </row>
    <row r="10" spans="1:13" x14ac:dyDescent="0.3">
      <c r="D10" s="26"/>
      <c r="E10" s="26"/>
      <c r="F10" s="26"/>
      <c r="G10" s="26"/>
      <c r="H10" s="26"/>
      <c r="I10" s="26"/>
      <c r="J10" s="26"/>
      <c r="K10" s="26"/>
      <c r="L10" t="str">
        <f>SUBSTITUTE(Planilha4!I12,Planilha4!I12,Planilha4!I12,1)</f>
        <v/>
      </c>
      <c r="M10" t="str">
        <f>SUBSTITUTE(Planilha4!J12,Planilha4!J12,Planilha4!J12,1)</f>
        <v/>
      </c>
    </row>
    <row r="11" spans="1:13" x14ac:dyDescent="0.3">
      <c r="D11" s="26"/>
      <c r="E11" s="26"/>
      <c r="F11" s="26"/>
      <c r="G11" s="26"/>
      <c r="H11" s="26"/>
      <c r="I11" s="26"/>
      <c r="J11" s="26"/>
      <c r="K11" s="26"/>
      <c r="L11" t="str">
        <f>SUBSTITUTE(Planilha4!I13,Planilha4!I13,Planilha4!I13,1)</f>
        <v/>
      </c>
      <c r="M11" t="str">
        <f>SUBSTITUTE(Planilha4!J13,Planilha4!J13,Planilha4!J13,1)</f>
        <v/>
      </c>
    </row>
    <row r="12" spans="1:13" x14ac:dyDescent="0.3">
      <c r="D12" s="26"/>
      <c r="E12" s="26"/>
      <c r="F12" s="26"/>
      <c r="G12" s="26"/>
      <c r="H12" s="26"/>
      <c r="I12" s="26"/>
      <c r="J12" s="26"/>
      <c r="K12" s="26"/>
      <c r="L12" t="str">
        <f>SUBSTITUTE(Planilha4!I14,Planilha4!I14,Planilha4!I14,1)</f>
        <v/>
      </c>
      <c r="M12" t="str">
        <f>SUBSTITUTE(Planilha4!J14,Planilha4!J14,Planilha4!J14,1)</f>
        <v/>
      </c>
    </row>
    <row r="13" spans="1:13" x14ac:dyDescent="0.3">
      <c r="D13" s="26"/>
      <c r="E13" s="26"/>
      <c r="F13" s="26"/>
      <c r="G13" s="26"/>
      <c r="H13" s="26"/>
      <c r="I13" s="26"/>
      <c r="J13" s="26"/>
      <c r="K13" s="26"/>
      <c r="L13" t="str">
        <f>SUBSTITUTE(Planilha4!I15,Planilha4!I15,Planilha4!I15,1)</f>
        <v/>
      </c>
      <c r="M13" t="str">
        <f>SUBSTITUTE(Planilha4!J15,Planilha4!J15,Planilha4!J15,1)</f>
        <v/>
      </c>
    </row>
    <row r="14" spans="1:13" x14ac:dyDescent="0.3">
      <c r="D14" s="26"/>
      <c r="E14" s="26"/>
      <c r="F14" s="26"/>
      <c r="G14" s="26"/>
      <c r="H14" s="26"/>
      <c r="I14" s="26"/>
      <c r="J14" s="26"/>
      <c r="K14" s="26"/>
      <c r="L14" t="str">
        <f>SUBSTITUTE(Planilha4!I16,Planilha4!I16,Planilha4!I16,1)</f>
        <v/>
      </c>
      <c r="M14" t="str">
        <f>SUBSTITUTE(Planilha4!J16,Planilha4!J16,Planilha4!J16,1)</f>
        <v/>
      </c>
    </row>
    <row r="15" spans="1:13" x14ac:dyDescent="0.3">
      <c r="D15" s="26"/>
      <c r="E15" s="26"/>
      <c r="F15" s="26"/>
      <c r="G15" s="26"/>
      <c r="H15" s="26"/>
      <c r="I15" s="26"/>
      <c r="J15" s="26"/>
      <c r="K15" s="26"/>
      <c r="L15" t="str">
        <f>SUBSTITUTE(Planilha4!I17,Planilha4!I17,Planilha4!I17,1)</f>
        <v/>
      </c>
      <c r="M15" t="str">
        <f>SUBSTITUTE(Planilha4!J17,Planilha4!J17,Planilha4!J17,1)</f>
        <v/>
      </c>
    </row>
    <row r="16" spans="1:13" x14ac:dyDescent="0.3">
      <c r="D16" s="26"/>
      <c r="E16" s="26"/>
      <c r="F16" s="26"/>
      <c r="G16" s="26"/>
      <c r="H16" s="26"/>
      <c r="I16" s="26"/>
      <c r="J16" s="26"/>
      <c r="K16" s="26"/>
      <c r="L16" t="str">
        <f>SUBSTITUTE(Planilha4!I18,Planilha4!I18,Planilha4!I18,1)</f>
        <v/>
      </c>
      <c r="M16" t="str">
        <f>SUBSTITUTE(Planilha4!J18,Planilha4!J18,Planilha4!J18,1)</f>
        <v/>
      </c>
    </row>
    <row r="17" spans="1:13" x14ac:dyDescent="0.3">
      <c r="A17" t="str">
        <f>SUBSTITUTE(Planilha4!A12,Planilha4!A12,Planilha4!A12,1)</f>
        <v/>
      </c>
      <c r="B17" t="str">
        <f>SUBSTITUTE(Planilha4!B12,Planilha4!B12,Planilha4!B12,1)</f>
        <v>Organizar por</v>
      </c>
      <c r="C17" t="str">
        <f>SUBSTITUTE(Planilha4!C12,Planilha4!C12,Planilha4!C12,1)</f>
        <v>44197</v>
      </c>
      <c r="D17" s="26"/>
      <c r="E17" s="26"/>
      <c r="F17" s="26"/>
      <c r="G17" s="26"/>
      <c r="H17" s="26"/>
      <c r="I17" s="26"/>
      <c r="J17" s="26"/>
      <c r="K17" s="26"/>
      <c r="L17" t="str">
        <f>SUBSTITUTE(Planilha4!I19,Planilha4!I19,Planilha4!I19,1)</f>
        <v/>
      </c>
      <c r="M17" t="str">
        <f>SUBSTITUTE(Planilha4!J19,Planilha4!J19,Planilha4!J19,1)</f>
        <v/>
      </c>
    </row>
    <row r="18" spans="1:13" x14ac:dyDescent="0.3">
      <c r="A18" t="str">
        <f>SUBSTITUTE(Planilha4!A13,Planilha4!A13,Planilha4!A13,1)</f>
        <v/>
      </c>
      <c r="B18" t="str">
        <f>SUBSTITUTE(Planilha4!B13,Planilha4!B13,Planilha4!B13,1)</f>
        <v/>
      </c>
      <c r="C18" t="str">
        <f>SUBSTITUTE(Planilha4!C13,Planilha4!C13,Planilha4!C13,1)</f>
        <v/>
      </c>
      <c r="D18" s="26"/>
      <c r="E18" s="26"/>
      <c r="F18" s="26"/>
      <c r="G18" s="26"/>
      <c r="H18" s="26"/>
      <c r="I18" s="26"/>
      <c r="J18" s="26"/>
      <c r="K18" s="26"/>
      <c r="L18" t="str">
        <f>SUBSTITUTE(Planilha4!I20,Planilha4!I20,Planilha4!I20,1)</f>
        <v/>
      </c>
      <c r="M18" t="str">
        <f>SUBSTITUTE(Planilha4!J20,Planilha4!J20,Planilha4!J20,1)</f>
        <v/>
      </c>
    </row>
    <row r="19" spans="1:13" x14ac:dyDescent="0.3">
      <c r="A19" t="str">
        <f>SUBSTITUTE(Planilha4!A14,Planilha4!A14,Planilha4!A14,1)</f>
        <v/>
      </c>
      <c r="B19" t="str">
        <f>SUBSTITUTE(Planilha4!B14,Planilha4!B14,Planilha4!B14,1)</f>
        <v/>
      </c>
      <c r="C19" t="str">
        <f>SUBSTITUTE(Planilha4!C14,Planilha4!C14,Planilha4!C14,1)</f>
        <v/>
      </c>
      <c r="D19" s="26"/>
      <c r="E19" s="26"/>
      <c r="F19" s="26"/>
      <c r="G19" s="26"/>
      <c r="H19" s="26"/>
      <c r="I19" s="26"/>
      <c r="J19" s="26"/>
      <c r="K19" s="26"/>
      <c r="L19" t="str">
        <f>SUBSTITUTE(Planilha4!I21,Planilha4!I21,Planilha4!I21,1)</f>
        <v/>
      </c>
      <c r="M19" t="str">
        <f>SUBSTITUTE(Planilha4!J21,Planilha4!J21,Planilha4!J21,1)</f>
        <v/>
      </c>
    </row>
    <row r="20" spans="1:13" x14ac:dyDescent="0.3">
      <c r="A20" t="str">
        <f>SUBSTITUTE(Planilha4!A15,Planilha4!A15,Planilha4!A15,1)</f>
        <v/>
      </c>
      <c r="B20" t="str">
        <f>SUBSTITUTE(Planilha4!B15,Planilha4!B15,Planilha4!B15,1)</f>
        <v/>
      </c>
      <c r="C20" t="str">
        <f>SUBSTITUTE(Planilha4!C15,Planilha4!C15,Planilha4!C15,1)</f>
        <v/>
      </c>
      <c r="D20" s="26"/>
      <c r="E20" s="26"/>
      <c r="F20" s="26"/>
      <c r="G20" s="26"/>
      <c r="H20" s="26"/>
      <c r="I20" s="26"/>
      <c r="J20" s="26"/>
      <c r="K20" s="26"/>
      <c r="L20" t="str">
        <f>SUBSTITUTE(Planilha4!I22,Planilha4!I22,Planilha4!I22,1)</f>
        <v/>
      </c>
      <c r="M20" t="str">
        <f>SUBSTITUTE(Planilha4!J22,Planilha4!J22,Planilha4!J22,1)</f>
        <v/>
      </c>
    </row>
    <row r="21" spans="1:13" x14ac:dyDescent="0.3">
      <c r="A21" t="str">
        <f>SUBSTITUTE(Planilha4!A16,Planilha4!A16,Planilha4!A16,1)</f>
        <v/>
      </c>
      <c r="B21" t="str">
        <f>SUBSTITUTE(Planilha4!B16,Planilha4!B16,Planilha4!B16,1)</f>
        <v/>
      </c>
      <c r="C21" t="str">
        <f>SUBSTITUTE(Planilha4!C16,Planilha4!C16,Planilha4!C16,1)</f>
        <v/>
      </c>
      <c r="D21" s="26"/>
      <c r="E21" s="26"/>
      <c r="F21" s="26"/>
      <c r="G21" s="26"/>
      <c r="H21" s="26"/>
      <c r="I21" s="26"/>
      <c r="J21" s="26"/>
      <c r="K21" s="26"/>
      <c r="L21" t="str">
        <f>SUBSTITUTE(Planilha4!I23,Planilha4!I23,Planilha4!I23,1)</f>
        <v/>
      </c>
      <c r="M21" t="str">
        <f>SUBSTITUTE(Planilha4!J23,Planilha4!J23,Planilha4!J23,1)</f>
        <v/>
      </c>
    </row>
    <row r="22" spans="1:13" x14ac:dyDescent="0.3">
      <c r="A22" t="str">
        <f>SUBSTITUTE(Planilha4!A17,Planilha4!A17,Planilha4!A17,1)</f>
        <v/>
      </c>
      <c r="B22" t="str">
        <f>SUBSTITUTE(Planilha4!B17,Planilha4!B17,Planilha4!B17,1)</f>
        <v/>
      </c>
      <c r="C22" t="str">
        <f>SUBSTITUTE(Planilha4!C17,Planilha4!C17,Planilha4!C17,1)</f>
        <v/>
      </c>
      <c r="D22" s="26"/>
      <c r="E22" s="26"/>
      <c r="F22" s="26"/>
      <c r="G22" s="26"/>
      <c r="H22" s="26"/>
      <c r="I22" s="26"/>
      <c r="J22" s="26"/>
      <c r="K22" s="26"/>
      <c r="L22" t="str">
        <f>SUBSTITUTE(Planilha4!I24,Planilha4!I24,Planilha4!I24,1)</f>
        <v/>
      </c>
      <c r="M22" t="str">
        <f>SUBSTITUTE(Planilha4!J24,Planilha4!J24,Planilha4!J24,1)</f>
        <v/>
      </c>
    </row>
    <row r="23" spans="1:13" x14ac:dyDescent="0.3">
      <c r="A23" t="str">
        <f>SUBSTITUTE(Planilha4!A18,Planilha4!A18,Planilha4!A18,1)</f>
        <v/>
      </c>
      <c r="B23" t="str">
        <f>SUBSTITUTE(Planilha4!B18,Planilha4!B18,Planilha4!B18,1)</f>
        <v/>
      </c>
      <c r="C23" t="str">
        <f>SUBSTITUTE(Planilha4!C18,Planilha4!C18,Planilha4!C18,1)</f>
        <v/>
      </c>
      <c r="D23" s="26"/>
      <c r="E23" s="26"/>
      <c r="F23" s="26"/>
      <c r="G23" s="26"/>
      <c r="H23" s="26"/>
      <c r="I23" s="26"/>
      <c r="J23" s="26"/>
      <c r="K23" s="26"/>
      <c r="L23" t="str">
        <f>SUBSTITUTE(Planilha4!I25,Planilha4!I25,Planilha4!I25,1)</f>
        <v/>
      </c>
      <c r="M23" t="str">
        <f>SUBSTITUTE(Planilha4!J25,Planilha4!J25,Planilha4!J25,1)</f>
        <v/>
      </c>
    </row>
    <row r="24" spans="1:13" x14ac:dyDescent="0.3">
      <c r="A24" t="str">
        <f>SUBSTITUTE(Planilha4!A19,Planilha4!A19,Planilha4!A19,1)</f>
        <v/>
      </c>
      <c r="B24" t="str">
        <f>SUBSTITUTE(Planilha4!B19,Planilha4!B19,Planilha4!B19,1)</f>
        <v/>
      </c>
      <c r="C24" t="str">
        <f>SUBSTITUTE(Planilha4!C19,Planilha4!C19,Planilha4!C19,1)</f>
        <v/>
      </c>
      <c r="D24" s="26"/>
      <c r="E24" s="26"/>
      <c r="F24" s="26"/>
      <c r="G24" s="26"/>
      <c r="H24" s="26"/>
      <c r="I24" s="26"/>
      <c r="J24" s="26"/>
      <c r="K24" s="26"/>
      <c r="L24" t="str">
        <f>SUBSTITUTE(Planilha4!I26,Planilha4!I26,Planilha4!I26,1)</f>
        <v/>
      </c>
      <c r="M24" t="str">
        <f>SUBSTITUTE(Planilha4!J26,Planilha4!J26,Planilha4!J26,1)</f>
        <v/>
      </c>
    </row>
    <row r="25" spans="1:13" x14ac:dyDescent="0.3">
      <c r="A25" t="str">
        <f>SUBSTITUTE(Planilha4!A20,Planilha4!A20,Planilha4!A20,1)</f>
        <v/>
      </c>
      <c r="B25" t="str">
        <f>SUBSTITUTE(Planilha4!B20,Planilha4!B20,Planilha4!B20,1)</f>
        <v/>
      </c>
      <c r="C25" t="str">
        <f>SUBSTITUTE(Planilha4!C20,Planilha4!C20,Planilha4!C20,1)</f>
        <v/>
      </c>
      <c r="D25" t="str">
        <f>SUBSTITUTE(Planilha4!A26,Planilha4!A27,Planilha4!A27,1)</f>
        <v/>
      </c>
      <c r="E25" t="str">
        <f>SUBSTITUTE(Planilha4!B26,Planilha4!B27,Planilha4!B27,1)</f>
        <v/>
      </c>
      <c r="F25" t="str">
        <f>SUBSTITUTE(Planilha4!C26,Planilha4!C27,Planilha4!C27,1)</f>
        <v/>
      </c>
      <c r="G25" t="str">
        <f>SUBSTITUTE(Planilha4!D26,Planilha4!D27,Planilha4!D27,1)</f>
        <v/>
      </c>
      <c r="H25" t="str">
        <f>SUBSTITUTE(Planilha4!E26,Planilha4!E27,Planilha4!E27,1)</f>
        <v/>
      </c>
      <c r="I25" t="str">
        <f>SUBSTITUTE(Planilha4!F26,Planilha4!F27,Planilha4!F27,1)</f>
        <v/>
      </c>
      <c r="J25" t="str">
        <f>SUBSTITUTE(Planilha4!G26,Planilha4!G27,Planilha4!G27,1)</f>
        <v/>
      </c>
      <c r="K25" t="str">
        <f>SUBSTITUTE(Planilha4!H26,Planilha4!H27,Planilha4!H27,1)</f>
        <v/>
      </c>
      <c r="L25" t="str">
        <f>SUBSTITUTE(Planilha4!I27,Planilha4!I27,Planilha4!I27,1)</f>
        <v/>
      </c>
      <c r="M25" t="str">
        <f>SUBSTITUTE(Planilha4!J27,Planilha4!J27,Planilha4!J27,1)</f>
        <v/>
      </c>
    </row>
    <row r="26" spans="1:13" x14ac:dyDescent="0.3">
      <c r="A26" t="str">
        <f>SUBSTITUTE(Planilha4!A21,Planilha4!A21,Planilha4!A21,1)</f>
        <v/>
      </c>
      <c r="B26" t="str">
        <f>SUBSTITUTE(Planilha4!B21,Planilha4!B21,Planilha4!B21,1)</f>
        <v/>
      </c>
      <c r="C26" t="str">
        <f>SUBSTITUTE(Planilha4!C21,Planilha4!C21,Planilha4!C21,1)</f>
        <v/>
      </c>
      <c r="D26" t="str">
        <f>SUBSTITUTE(Planilha4!A27,Planilha4!A28,Planilha4!A28,1)</f>
        <v/>
      </c>
      <c r="E26" t="str">
        <f>SUBSTITUTE(Planilha4!B27,Planilha4!B28,Planilha4!B28,1)</f>
        <v/>
      </c>
      <c r="F26" t="str">
        <f>SUBSTITUTE(Planilha4!C27,Planilha4!C28,Planilha4!C28,1)</f>
        <v/>
      </c>
      <c r="G26" t="str">
        <f>SUBSTITUTE(Planilha4!D27,Planilha4!D28,Planilha4!D28,1)</f>
        <v/>
      </c>
      <c r="H26" t="str">
        <f>SUBSTITUTE(Planilha4!E27,Planilha4!E28,Planilha4!E28,1)</f>
        <v/>
      </c>
      <c r="I26" t="str">
        <f>SUBSTITUTE(Planilha4!F27,Planilha4!F28,Planilha4!F28,1)</f>
        <v/>
      </c>
      <c r="J26" t="str">
        <f>SUBSTITUTE(Planilha4!G27,Planilha4!G28,Planilha4!G28,1)</f>
        <v/>
      </c>
      <c r="K26" t="str">
        <f>SUBSTITUTE(Planilha4!H27,Planilha4!H28,Planilha4!H28,1)</f>
        <v/>
      </c>
      <c r="L26" t="str">
        <f>SUBSTITUTE(Planilha4!I28,Planilha4!I28,Planilha4!I28,1)</f>
        <v/>
      </c>
      <c r="M26" t="str">
        <f>SUBSTITUTE(Planilha4!J28,Planilha4!J28,Planilha4!J28,1)</f>
        <v/>
      </c>
    </row>
    <row r="27" spans="1:13" x14ac:dyDescent="0.3">
      <c r="A27" t="str">
        <f>SUBSTITUTE(Planilha4!A22,Planilha4!A22,Planilha4!A22,1)</f>
        <v/>
      </c>
      <c r="B27" t="str">
        <f>SUBSTITUTE(Planilha4!B22,Planilha4!B22,Planilha4!B22,1)</f>
        <v/>
      </c>
      <c r="C27" t="str">
        <f>SUBSTITUTE(Planilha4!C22,Planilha4!C22,Planilha4!C22,1)</f>
        <v/>
      </c>
      <c r="D27" t="str">
        <f>SUBSTITUTE(Planilha4!A28,Planilha4!A29,Planilha4!A29,1)</f>
        <v/>
      </c>
      <c r="E27" t="str">
        <f>SUBSTITUTE(Planilha4!B28,Planilha4!B29,Planilha4!B29,1)</f>
        <v/>
      </c>
      <c r="F27" t="str">
        <f>SUBSTITUTE(Planilha4!C28,Planilha4!C29,Planilha4!C29,1)</f>
        <v/>
      </c>
      <c r="G27" t="str">
        <f>SUBSTITUTE(Planilha4!D28,Planilha4!D29,Planilha4!D29,1)</f>
        <v/>
      </c>
      <c r="H27" t="str">
        <f>SUBSTITUTE(Planilha4!E28,Planilha4!E29,Planilha4!E29,1)</f>
        <v/>
      </c>
      <c r="I27" t="str">
        <f>SUBSTITUTE(Planilha4!F28,Planilha4!F29,Planilha4!F29,1)</f>
        <v/>
      </c>
      <c r="J27" t="str">
        <f>SUBSTITUTE(Planilha4!G28,Planilha4!G29,Planilha4!G29,1)</f>
        <v/>
      </c>
      <c r="K27" t="str">
        <f>SUBSTITUTE(Planilha4!H28,Planilha4!H29,Planilha4!H29,1)</f>
        <v/>
      </c>
      <c r="L27" t="str">
        <f>SUBSTITUTE(Planilha4!I29,Planilha4!I29,Planilha4!I29,1)</f>
        <v/>
      </c>
      <c r="M27" t="str">
        <f>SUBSTITUTE(Planilha4!J29,Planilha4!J29,Planilha4!J29,1)</f>
        <v/>
      </c>
    </row>
    <row r="28" spans="1:13" x14ac:dyDescent="0.3">
      <c r="A28" t="str">
        <f>SUBSTITUTE(Planilha4!A23,Planilha4!A23,Planilha4!A23,1)</f>
        <v/>
      </c>
      <c r="B28" t="str">
        <f>SUBSTITUTE(Planilha4!B23,Planilha4!B23,Planilha4!B23,1)</f>
        <v/>
      </c>
      <c r="C28" t="str">
        <f>SUBSTITUTE(Planilha4!C23,Planilha4!C23,Planilha4!C23,1)</f>
        <v/>
      </c>
      <c r="D28" t="str">
        <f>SUBSTITUTE(Planilha4!A29,Planilha4!A30,Planilha4!A30,1)</f>
        <v/>
      </c>
      <c r="E28" t="str">
        <f>SUBSTITUTE(Planilha4!B29,Planilha4!B30,Planilha4!B30,1)</f>
        <v/>
      </c>
      <c r="F28" t="str">
        <f>SUBSTITUTE(Planilha4!C29,Planilha4!C30,Planilha4!C30,1)</f>
        <v/>
      </c>
      <c r="G28" t="str">
        <f>SUBSTITUTE(Planilha4!D29,Planilha4!D30,Planilha4!D30,1)</f>
        <v/>
      </c>
      <c r="H28" t="str">
        <f>SUBSTITUTE(Planilha4!E29,Planilha4!E30,Planilha4!E30,1)</f>
        <v/>
      </c>
      <c r="I28" t="str">
        <f>SUBSTITUTE(Planilha4!F29,Planilha4!F30,Planilha4!F30,1)</f>
        <v/>
      </c>
      <c r="J28" t="str">
        <f>SUBSTITUTE(Planilha4!G29,Planilha4!G30,Planilha4!G30,1)</f>
        <v/>
      </c>
      <c r="K28" t="str">
        <f>SUBSTITUTE(Planilha4!H29,Planilha4!H30,Planilha4!H30,1)</f>
        <v/>
      </c>
      <c r="L28" t="str">
        <f>SUBSTITUTE(Planilha4!I30,Planilha4!I30,Planilha4!I30,1)</f>
        <v/>
      </c>
      <c r="M28" t="str">
        <f>SUBSTITUTE(Planilha4!J30,Planilha4!J30,Planilha4!J30,1)</f>
        <v/>
      </c>
    </row>
    <row r="29" spans="1:13" x14ac:dyDescent="0.3">
      <c r="A29" t="str">
        <f>SUBSTITUTE(Planilha4!A24,Planilha4!A24,Planilha4!A24,1)</f>
        <v/>
      </c>
      <c r="B29" t="str">
        <f>SUBSTITUTE(Planilha4!B24,Planilha4!B24,Planilha4!B24,1)</f>
        <v/>
      </c>
      <c r="C29" t="str">
        <f>SUBSTITUTE(Planilha4!C24,Planilha4!C24,Planilha4!C24,1)</f>
        <v/>
      </c>
      <c r="D29" t="str">
        <f>SUBSTITUTE(Planilha4!A30,Planilha4!A31,Planilha4!A31,1)</f>
        <v/>
      </c>
      <c r="E29" t="str">
        <f>SUBSTITUTE(Planilha4!B30,Planilha4!B31,Planilha4!B31,1)</f>
        <v/>
      </c>
      <c r="F29" t="str">
        <f>SUBSTITUTE(Planilha4!C30,Planilha4!C31,Planilha4!C31,1)</f>
        <v/>
      </c>
      <c r="G29" t="str">
        <f>SUBSTITUTE(Planilha4!D30,Planilha4!D31,Planilha4!D31,1)</f>
        <v/>
      </c>
      <c r="H29" t="str">
        <f>SUBSTITUTE(Planilha4!E30,Planilha4!E31,Planilha4!E31,1)</f>
        <v/>
      </c>
      <c r="I29" t="str">
        <f>SUBSTITUTE(Planilha4!F30,Planilha4!F31,Planilha4!F31,1)</f>
        <v/>
      </c>
      <c r="J29" t="str">
        <f>SUBSTITUTE(Planilha4!G30,Planilha4!G31,Planilha4!G31,1)</f>
        <v/>
      </c>
      <c r="K29" t="str">
        <f>SUBSTITUTE(Planilha4!H30,Planilha4!H31,Planilha4!H31,1)</f>
        <v/>
      </c>
      <c r="L29" t="str">
        <f>SUBSTITUTE(Planilha4!I31,Planilha4!I31,Planilha4!I31,1)</f>
        <v/>
      </c>
      <c r="M29" t="str">
        <f>SUBSTITUTE(Planilha4!J31,Planilha4!J31,Planilha4!J31,1)</f>
        <v/>
      </c>
    </row>
    <row r="30" spans="1:13" x14ac:dyDescent="0.3">
      <c r="A30" t="str">
        <f>SUBSTITUTE(Planilha4!A25,Planilha4!A25,Planilha4!A25,1)</f>
        <v/>
      </c>
      <c r="B30" t="str">
        <f>SUBSTITUTE(Planilha4!B25,Planilha4!B25,Planilha4!B25,1)</f>
        <v/>
      </c>
      <c r="C30" t="str">
        <f>SUBSTITUTE(Planilha4!C25,Planilha4!C25,Planilha4!C25,1)</f>
        <v/>
      </c>
      <c r="D30" t="str">
        <f>SUBSTITUTE(Planilha4!A31,Planilha4!A32,Planilha4!A32,1)</f>
        <v/>
      </c>
      <c r="E30" t="str">
        <f>SUBSTITUTE(Planilha4!B31,Planilha4!B32,Planilha4!B32,1)</f>
        <v/>
      </c>
      <c r="F30" t="str">
        <f>SUBSTITUTE(Planilha4!C31,Planilha4!C32,Planilha4!C32,1)</f>
        <v/>
      </c>
      <c r="G30" t="str">
        <f>SUBSTITUTE(Planilha4!D31,Planilha4!D32,Planilha4!D32,1)</f>
        <v/>
      </c>
      <c r="H30" t="str">
        <f>SUBSTITUTE(Planilha4!E31,Planilha4!E32,Planilha4!E32,1)</f>
        <v/>
      </c>
      <c r="I30" t="str">
        <f>SUBSTITUTE(Planilha4!F31,Planilha4!F32,Planilha4!F32,1)</f>
        <v/>
      </c>
      <c r="J30" t="str">
        <f>SUBSTITUTE(Planilha4!G31,Planilha4!G32,Planilha4!G32,1)</f>
        <v/>
      </c>
      <c r="K30" t="str">
        <f>SUBSTITUTE(Planilha4!H31,Planilha4!H32,Planilha4!H32,1)</f>
        <v/>
      </c>
      <c r="L30" t="str">
        <f>SUBSTITUTE(Planilha4!I32,Planilha4!I32,Planilha4!I32,1)</f>
        <v/>
      </c>
      <c r="M30" t="str">
        <f>SUBSTITUTE(Planilha4!J32,Planilha4!J32,Planilha4!J32,1)</f>
        <v/>
      </c>
    </row>
    <row r="31" spans="1:13" x14ac:dyDescent="0.3">
      <c r="A31" t="str">
        <f>SUBSTITUTE(Planilha4!A26,Planilha4!A26,Planilha4!A26,1)</f>
        <v/>
      </c>
      <c r="B31" t="str">
        <f>SUBSTITUTE(Planilha4!B26,Planilha4!B26,Planilha4!B26,1)</f>
        <v/>
      </c>
      <c r="C31" t="str">
        <f>SUBSTITUTE(Planilha4!C26,Planilha4!C26,Planilha4!C26,1)</f>
        <v/>
      </c>
      <c r="D31" t="str">
        <f>SUBSTITUTE(Planilha4!A32,Planilha4!A33,Planilha4!A33,1)</f>
        <v/>
      </c>
      <c r="E31" t="str">
        <f>SUBSTITUTE(Planilha4!B32,Planilha4!B33,Planilha4!B33,1)</f>
        <v/>
      </c>
      <c r="F31" t="str">
        <f>SUBSTITUTE(Planilha4!C32,Planilha4!C33,Planilha4!C33,1)</f>
        <v/>
      </c>
      <c r="G31" t="str">
        <f>SUBSTITUTE(Planilha4!D32,Planilha4!D33,Planilha4!D33,1)</f>
        <v/>
      </c>
      <c r="H31" t="str">
        <f>SUBSTITUTE(Planilha4!E32,Planilha4!E33,Planilha4!E33,1)</f>
        <v/>
      </c>
      <c r="I31" t="str">
        <f>SUBSTITUTE(Planilha4!F32,Planilha4!F33,Planilha4!F33,1)</f>
        <v/>
      </c>
      <c r="J31" t="str">
        <f>SUBSTITUTE(Planilha4!G32,Planilha4!G33,Planilha4!G33,1)</f>
        <v/>
      </c>
      <c r="K31" t="str">
        <f>SUBSTITUTE(Planilha4!H32,Planilha4!H33,Planilha4!H33,1)</f>
        <v/>
      </c>
      <c r="L31" t="str">
        <f>SUBSTITUTE(Planilha4!I33,Planilha4!I33,Planilha4!I33,1)</f>
        <v/>
      </c>
      <c r="M31" t="str">
        <f>SUBSTITUTE(Planilha4!J33,Planilha4!J33,Planilha4!J33,1)</f>
        <v/>
      </c>
    </row>
    <row r="32" spans="1:13" x14ac:dyDescent="0.3">
      <c r="A32" t="str">
        <f>SUBSTITUTE(Planilha4!A27,Planilha4!A27,Planilha4!A27,1)</f>
        <v/>
      </c>
      <c r="B32" t="str">
        <f>SUBSTITUTE(Planilha4!B27,Planilha4!B27,Planilha4!B27,1)</f>
        <v/>
      </c>
      <c r="C32" t="str">
        <f>SUBSTITUTE(Planilha4!C27,Planilha4!C27,Planilha4!C27,1)</f>
        <v/>
      </c>
      <c r="D32" t="str">
        <f>SUBSTITUTE(Planilha4!A33,Planilha4!A34,Planilha4!A34,1)</f>
        <v/>
      </c>
      <c r="E32" t="str">
        <f>SUBSTITUTE(Planilha4!B33,Planilha4!B34,Planilha4!B34,1)</f>
        <v/>
      </c>
      <c r="F32" t="str">
        <f>SUBSTITUTE(Planilha4!C33,Planilha4!C34,Planilha4!C34,1)</f>
        <v/>
      </c>
      <c r="G32" t="str">
        <f>SUBSTITUTE(Planilha4!D33,Planilha4!D34,Planilha4!D34,1)</f>
        <v/>
      </c>
      <c r="H32" t="str">
        <f>SUBSTITUTE(Planilha4!E33,Planilha4!E34,Planilha4!E34,1)</f>
        <v/>
      </c>
      <c r="I32" t="str">
        <f>SUBSTITUTE(Planilha4!F33,Planilha4!F34,Planilha4!F34,1)</f>
        <v/>
      </c>
      <c r="J32" t="str">
        <f>SUBSTITUTE(Planilha4!G33,Planilha4!G34,Planilha4!G34,1)</f>
        <v/>
      </c>
      <c r="K32" t="str">
        <f>SUBSTITUTE(Planilha4!H33,Planilha4!H34,Planilha4!H34,1)</f>
        <v/>
      </c>
      <c r="L32" t="str">
        <f>SUBSTITUTE(Planilha4!I34,Planilha4!I34,Planilha4!I34,1)</f>
        <v/>
      </c>
      <c r="M32" t="str">
        <f>SUBSTITUTE(Planilha4!J34,Planilha4!J34,Planilha4!J34,1)</f>
        <v/>
      </c>
    </row>
    <row r="33" spans="1:13" x14ac:dyDescent="0.3">
      <c r="A33" t="str">
        <f>SUBSTITUTE(Planilha4!A28,Planilha4!A28,Planilha4!A28,1)</f>
        <v/>
      </c>
      <c r="B33" t="str">
        <f>SUBSTITUTE(Planilha4!B28,Planilha4!B28,Planilha4!B28,1)</f>
        <v/>
      </c>
      <c r="C33" t="str">
        <f>SUBSTITUTE(Planilha4!C28,Planilha4!C28,Planilha4!C28,1)</f>
        <v/>
      </c>
      <c r="D33" t="str">
        <f>SUBSTITUTE(Planilha4!A34,Planilha4!A35,Planilha4!A35,1)</f>
        <v/>
      </c>
      <c r="E33" t="str">
        <f>SUBSTITUTE(Planilha4!B34,Planilha4!B35,Planilha4!B35,1)</f>
        <v/>
      </c>
      <c r="F33" t="str">
        <f>SUBSTITUTE(Planilha4!C34,Planilha4!C35,Planilha4!C35,1)</f>
        <v/>
      </c>
      <c r="G33" t="str">
        <f>SUBSTITUTE(Planilha4!D34,Planilha4!D35,Planilha4!D35,1)</f>
        <v/>
      </c>
      <c r="H33" t="str">
        <f>SUBSTITUTE(Planilha4!E34,Planilha4!E35,Planilha4!E35,1)</f>
        <v/>
      </c>
      <c r="I33" t="str">
        <f>SUBSTITUTE(Planilha4!F34,Planilha4!F35,Planilha4!F35,1)</f>
        <v/>
      </c>
      <c r="J33" t="str">
        <f>SUBSTITUTE(Planilha4!G34,Planilha4!G35,Planilha4!G35,1)</f>
        <v/>
      </c>
      <c r="K33" t="str">
        <f>SUBSTITUTE(Planilha4!H34,Planilha4!H35,Planilha4!H35,1)</f>
        <v/>
      </c>
      <c r="L33" t="str">
        <f>SUBSTITUTE(Planilha4!I35,Planilha4!I35,Planilha4!I35,1)</f>
        <v/>
      </c>
      <c r="M33" t="str">
        <f>SUBSTITUTE(Planilha4!J35,Planilha4!J35,Planilha4!J35,1)</f>
        <v/>
      </c>
    </row>
    <row r="34" spans="1:13" x14ac:dyDescent="0.3">
      <c r="A34" t="str">
        <f>SUBSTITUTE(Planilha4!A29,Planilha4!A29,Planilha4!A29,1)</f>
        <v/>
      </c>
      <c r="B34" t="str">
        <f>SUBSTITUTE(Planilha4!B29,Planilha4!B29,Planilha4!B29,1)</f>
        <v/>
      </c>
      <c r="C34" t="str">
        <f>SUBSTITUTE(Planilha4!C29,Planilha4!C29,Planilha4!C29,1)</f>
        <v/>
      </c>
      <c r="D34" t="str">
        <f>SUBSTITUTE(Planilha4!A35,Planilha4!A36,Planilha4!A36,1)</f>
        <v/>
      </c>
      <c r="E34" t="str">
        <f>SUBSTITUTE(Planilha4!B35,Planilha4!B36,Planilha4!B36,1)</f>
        <v/>
      </c>
      <c r="F34" t="str">
        <f>SUBSTITUTE(Planilha4!C35,Planilha4!C36,Planilha4!C36,1)</f>
        <v/>
      </c>
      <c r="G34" t="str">
        <f>SUBSTITUTE(Planilha4!D35,Planilha4!D36,Planilha4!D36,1)</f>
        <v/>
      </c>
      <c r="H34" t="str">
        <f>SUBSTITUTE(Planilha4!E35,Planilha4!E36,Planilha4!E36,1)</f>
        <v/>
      </c>
      <c r="I34" t="str">
        <f>SUBSTITUTE(Planilha4!F35,Planilha4!F36,Planilha4!F36,1)</f>
        <v/>
      </c>
      <c r="J34" t="str">
        <f>SUBSTITUTE(Planilha4!G35,Planilha4!G36,Planilha4!G36,1)</f>
        <v/>
      </c>
      <c r="K34" t="str">
        <f>SUBSTITUTE(Planilha4!H35,Planilha4!H36,Planilha4!H36,1)</f>
        <v/>
      </c>
      <c r="L34" t="str">
        <f>SUBSTITUTE(Planilha4!I36,Planilha4!I36,Planilha4!I36,1)</f>
        <v/>
      </c>
      <c r="M34" t="str">
        <f>SUBSTITUTE(Planilha4!J36,Planilha4!J36,Planilha4!J36,1)</f>
        <v/>
      </c>
    </row>
    <row r="35" spans="1:13" x14ac:dyDescent="0.3">
      <c r="A35" t="str">
        <f>SUBSTITUTE(Planilha4!A30,Planilha4!A30,Planilha4!A30,1)</f>
        <v/>
      </c>
      <c r="B35" t="str">
        <f>SUBSTITUTE(Planilha4!B30,Planilha4!B30,Planilha4!B30,1)</f>
        <v/>
      </c>
      <c r="C35" t="str">
        <f>SUBSTITUTE(Planilha4!C30,Planilha4!C30,Planilha4!C30,1)</f>
        <v/>
      </c>
      <c r="D35" t="str">
        <f>SUBSTITUTE(Planilha4!A36,Planilha4!A37,Planilha4!A37,1)</f>
        <v/>
      </c>
      <c r="E35" t="str">
        <f>SUBSTITUTE(Planilha4!B36,Planilha4!B37,Planilha4!B37,1)</f>
        <v/>
      </c>
      <c r="F35" t="str">
        <f>SUBSTITUTE(Planilha4!C36,Planilha4!C37,Planilha4!C37,1)</f>
        <v/>
      </c>
      <c r="G35" t="str">
        <f>SUBSTITUTE(Planilha4!D36,Planilha4!D37,Planilha4!D37,1)</f>
        <v/>
      </c>
      <c r="H35" t="str">
        <f>SUBSTITUTE(Planilha4!E36,Planilha4!E37,Planilha4!E37,1)</f>
        <v/>
      </c>
      <c r="I35" t="str">
        <f>SUBSTITUTE(Planilha4!F36,Planilha4!F37,Planilha4!F37,1)</f>
        <v/>
      </c>
      <c r="J35" t="str">
        <f>SUBSTITUTE(Planilha4!G36,Planilha4!G37,Planilha4!G37,1)</f>
        <v/>
      </c>
      <c r="K35" t="str">
        <f>SUBSTITUTE(Planilha4!H36,Planilha4!H37,Planilha4!H37,1)</f>
        <v/>
      </c>
      <c r="L35" t="str">
        <f>SUBSTITUTE(Planilha4!I37,Planilha4!I37,Planilha4!I37,1)</f>
        <v/>
      </c>
      <c r="M35" t="str">
        <f>SUBSTITUTE(Planilha4!J37,Planilha4!J37,Planilha4!J37,1)</f>
        <v/>
      </c>
    </row>
    <row r="36" spans="1:13" x14ac:dyDescent="0.3">
      <c r="A36" t="str">
        <f>SUBSTITUTE(Planilha4!A31,Planilha4!A31,Planilha4!A31,1)</f>
        <v/>
      </c>
      <c r="B36" t="str">
        <f>SUBSTITUTE(Planilha4!B31,Planilha4!B31,Planilha4!B31,1)</f>
        <v/>
      </c>
      <c r="C36" t="str">
        <f>SUBSTITUTE(Planilha4!C31,Planilha4!C31,Planilha4!C31,1)</f>
        <v/>
      </c>
      <c r="D36" t="str">
        <f>SUBSTITUTE(Planilha4!A37,Planilha4!A38,Planilha4!A38,1)</f>
        <v/>
      </c>
      <c r="E36" t="str">
        <f>SUBSTITUTE(Planilha4!B37,Planilha4!B38,Planilha4!B38,1)</f>
        <v/>
      </c>
      <c r="F36" t="str">
        <f>SUBSTITUTE(Planilha4!C37,Planilha4!C38,Planilha4!C38,1)</f>
        <v/>
      </c>
      <c r="G36" t="str">
        <f>SUBSTITUTE(Planilha4!D37,Planilha4!D38,Planilha4!D38,1)</f>
        <v/>
      </c>
      <c r="H36" t="str">
        <f>SUBSTITUTE(Planilha4!E37,Planilha4!E38,Planilha4!E38,1)</f>
        <v/>
      </c>
      <c r="I36" t="str">
        <f>SUBSTITUTE(Planilha4!F37,Planilha4!F38,Planilha4!F38,1)</f>
        <v/>
      </c>
      <c r="J36" t="str">
        <f>SUBSTITUTE(Planilha4!G37,Planilha4!G38,Planilha4!G38,1)</f>
        <v/>
      </c>
      <c r="K36" t="str">
        <f>SUBSTITUTE(Planilha4!H37,Planilha4!H38,Planilha4!H38,1)</f>
        <v/>
      </c>
      <c r="L36" t="str">
        <f>SUBSTITUTE(Planilha4!I38,Planilha4!I38,Planilha4!I38,1)</f>
        <v/>
      </c>
      <c r="M36" t="str">
        <f>SUBSTITUTE(Planilha4!J38,Planilha4!J38,Planilha4!J38,1)</f>
        <v/>
      </c>
    </row>
    <row r="37" spans="1:13" x14ac:dyDescent="0.3">
      <c r="A37" t="str">
        <f>SUBSTITUTE(Planilha4!A32,Planilha4!A32,Planilha4!A32,1)</f>
        <v/>
      </c>
      <c r="B37" t="str">
        <f>SUBSTITUTE(Planilha4!B32,Planilha4!B32,Planilha4!B32,1)</f>
        <v/>
      </c>
      <c r="C37" t="str">
        <f>SUBSTITUTE(Planilha4!C32,Planilha4!C32,Planilha4!C32,1)</f>
        <v/>
      </c>
      <c r="D37" t="str">
        <f>SUBSTITUTE(Planilha4!A38,Planilha4!A39,Planilha4!A39,1)</f>
        <v/>
      </c>
      <c r="E37" t="str">
        <f>SUBSTITUTE(Planilha4!B38,Planilha4!B39,Planilha4!B39,1)</f>
        <v/>
      </c>
      <c r="F37" t="str">
        <f>SUBSTITUTE(Planilha4!C38,Planilha4!C39,Planilha4!C39,1)</f>
        <v/>
      </c>
      <c r="G37" t="str">
        <f>SUBSTITUTE(Planilha4!D38,Planilha4!D39,Planilha4!D39,1)</f>
        <v/>
      </c>
      <c r="H37" t="str">
        <f>SUBSTITUTE(Planilha4!E38,Planilha4!E39,Planilha4!E39,1)</f>
        <v/>
      </c>
      <c r="I37" t="str">
        <f>SUBSTITUTE(Planilha4!F38,Planilha4!F39,Planilha4!F39,1)</f>
        <v/>
      </c>
      <c r="J37" t="str">
        <f>SUBSTITUTE(Planilha4!G38,Planilha4!G39,Planilha4!G39,1)</f>
        <v/>
      </c>
      <c r="K37" t="str">
        <f>SUBSTITUTE(Planilha4!H38,Planilha4!H39,Planilha4!H39,1)</f>
        <v/>
      </c>
      <c r="L37" t="str">
        <f>SUBSTITUTE(Planilha4!I39,Planilha4!I39,Planilha4!I39,1)</f>
        <v/>
      </c>
      <c r="M37" t="str">
        <f>SUBSTITUTE(Planilha4!J39,Planilha4!J39,Planilha4!J39,1)</f>
        <v/>
      </c>
    </row>
    <row r="38" spans="1:13" x14ac:dyDescent="0.3">
      <c r="A38" t="str">
        <f>SUBSTITUTE(Planilha4!A33,Planilha4!A33,Planilha4!A33,1)</f>
        <v/>
      </c>
      <c r="B38" t="str">
        <f>SUBSTITUTE(Planilha4!B33,Planilha4!B33,Planilha4!B33,1)</f>
        <v/>
      </c>
      <c r="C38" t="str">
        <f>SUBSTITUTE(Planilha4!C33,Planilha4!C33,Planilha4!C33,1)</f>
        <v/>
      </c>
      <c r="D38" t="str">
        <f>SUBSTITUTE(Planilha4!A39,Planilha4!A40,Planilha4!A40,1)</f>
        <v/>
      </c>
      <c r="E38" t="str">
        <f>SUBSTITUTE(Planilha4!B39,Planilha4!B40,Planilha4!B40,1)</f>
        <v/>
      </c>
      <c r="F38" t="str">
        <f>SUBSTITUTE(Planilha4!C39,Planilha4!C40,Planilha4!C40,1)</f>
        <v/>
      </c>
      <c r="G38" t="str">
        <f>SUBSTITUTE(Planilha4!D39,Planilha4!D40,Planilha4!D40,1)</f>
        <v/>
      </c>
      <c r="H38" t="str">
        <f>SUBSTITUTE(Planilha4!E39,Planilha4!E40,Planilha4!E40,1)</f>
        <v/>
      </c>
      <c r="I38" t="str">
        <f>SUBSTITUTE(Planilha4!F39,Planilha4!F40,Planilha4!F40,1)</f>
        <v/>
      </c>
      <c r="J38" t="str">
        <f>SUBSTITUTE(Planilha4!G39,Planilha4!G40,Planilha4!G40,1)</f>
        <v/>
      </c>
      <c r="K38" t="str">
        <f>SUBSTITUTE(Planilha4!H39,Planilha4!H40,Planilha4!H40,1)</f>
        <v/>
      </c>
      <c r="L38" t="str">
        <f>SUBSTITUTE(Planilha4!I40,Planilha4!I40,Planilha4!I40,1)</f>
        <v/>
      </c>
      <c r="M38" t="str">
        <f>SUBSTITUTE(Planilha4!J40,Planilha4!J40,Planilha4!J40,1)</f>
        <v/>
      </c>
    </row>
    <row r="39" spans="1:13" x14ac:dyDescent="0.3">
      <c r="A39" t="str">
        <f>SUBSTITUTE(Planilha4!A34,Planilha4!A34,Planilha4!A34,1)</f>
        <v/>
      </c>
      <c r="B39" t="str">
        <f>SUBSTITUTE(Planilha4!B34,Planilha4!B34,Planilha4!B34,1)</f>
        <v/>
      </c>
      <c r="C39" t="str">
        <f>SUBSTITUTE(Planilha4!C34,Planilha4!C34,Planilha4!C34,1)</f>
        <v/>
      </c>
      <c r="D39" t="str">
        <f>SUBSTITUTE(Planilha4!A40,Planilha4!A41,Planilha4!A41,1)</f>
        <v/>
      </c>
      <c r="E39" t="str">
        <f>SUBSTITUTE(Planilha4!B40,Planilha4!B41,Planilha4!B41,1)</f>
        <v/>
      </c>
      <c r="F39" t="str">
        <f>SUBSTITUTE(Planilha4!C40,Planilha4!C41,Planilha4!C41,1)</f>
        <v/>
      </c>
      <c r="G39" t="str">
        <f>SUBSTITUTE(Planilha4!D40,Planilha4!D41,Planilha4!D41,1)</f>
        <v/>
      </c>
      <c r="H39" t="str">
        <f>SUBSTITUTE(Planilha4!E40,Planilha4!E41,Planilha4!E41,1)</f>
        <v/>
      </c>
      <c r="I39" t="str">
        <f>SUBSTITUTE(Planilha4!F40,Planilha4!F41,Planilha4!F41,1)</f>
        <v/>
      </c>
      <c r="J39" t="str">
        <f>SUBSTITUTE(Planilha4!G40,Planilha4!G41,Planilha4!G41,1)</f>
        <v/>
      </c>
      <c r="K39" t="str">
        <f>SUBSTITUTE(Planilha4!H40,Planilha4!H41,Planilha4!H41,1)</f>
        <v/>
      </c>
      <c r="L39" t="str">
        <f>SUBSTITUTE(Planilha4!I41,Planilha4!I41,Planilha4!I41,1)</f>
        <v/>
      </c>
      <c r="M39" t="str">
        <f>SUBSTITUTE(Planilha4!J41,Planilha4!J41,Planilha4!J41,1)</f>
        <v/>
      </c>
    </row>
    <row r="40" spans="1:13" x14ac:dyDescent="0.3">
      <c r="A40" t="str">
        <f>SUBSTITUTE(Planilha4!A35,Planilha4!A35,Planilha4!A35,1)</f>
        <v/>
      </c>
      <c r="B40" t="str">
        <f>SUBSTITUTE(Planilha4!B35,Planilha4!B35,Planilha4!B35,1)</f>
        <v/>
      </c>
      <c r="C40" t="str">
        <f>SUBSTITUTE(Planilha4!C35,Planilha4!C35,Planilha4!C35,1)</f>
        <v/>
      </c>
      <c r="D40" t="str">
        <f>SUBSTITUTE(Planilha4!A41,Planilha4!A42,Planilha4!A42,1)</f>
        <v/>
      </c>
      <c r="E40" t="str">
        <f>SUBSTITUTE(Planilha4!B41,Planilha4!B42,Planilha4!B42,1)</f>
        <v/>
      </c>
      <c r="F40" t="str">
        <f>SUBSTITUTE(Planilha4!C41,Planilha4!C42,Planilha4!C42,1)</f>
        <v/>
      </c>
      <c r="G40" t="str">
        <f>SUBSTITUTE(Planilha4!D41,Planilha4!D42,Planilha4!D42,1)</f>
        <v/>
      </c>
      <c r="H40" t="str">
        <f>SUBSTITUTE(Planilha4!E41,Planilha4!E42,Planilha4!E42,1)</f>
        <v/>
      </c>
      <c r="I40" t="str">
        <f>SUBSTITUTE(Planilha4!F41,Planilha4!F42,Planilha4!F42,1)</f>
        <v/>
      </c>
      <c r="J40" t="str">
        <f>SUBSTITUTE(Planilha4!G41,Planilha4!G42,Planilha4!G42,1)</f>
        <v/>
      </c>
      <c r="K40" t="str">
        <f>SUBSTITUTE(Planilha4!H41,Planilha4!H42,Planilha4!H42,1)</f>
        <v/>
      </c>
      <c r="L40" t="str">
        <f>SUBSTITUTE(Planilha4!I42,Planilha4!I42,Planilha4!I42,1)</f>
        <v/>
      </c>
      <c r="M40" t="str">
        <f>SUBSTITUTE(Planilha4!J42,Planilha4!J42,Planilha4!J42,1)</f>
        <v/>
      </c>
    </row>
    <row r="41" spans="1:13" x14ac:dyDescent="0.3">
      <c r="A41" t="str">
        <f>SUBSTITUTE(Planilha4!A36,Planilha4!A36,Planilha4!A36,1)</f>
        <v/>
      </c>
      <c r="B41" t="str">
        <f>SUBSTITUTE(Planilha4!B36,Planilha4!B36,Planilha4!B36,1)</f>
        <v/>
      </c>
      <c r="C41" t="str">
        <f>SUBSTITUTE(Planilha4!C36,Planilha4!C36,Planilha4!C36,1)</f>
        <v/>
      </c>
      <c r="D41" t="str">
        <f>SUBSTITUTE(Planilha4!A42,Planilha4!A43,Planilha4!A43,1)</f>
        <v/>
      </c>
      <c r="E41" t="str">
        <f>SUBSTITUTE(Planilha4!B42,Planilha4!B43,Planilha4!B43,1)</f>
        <v/>
      </c>
      <c r="F41" t="str">
        <f>SUBSTITUTE(Planilha4!C42,Planilha4!C43,Planilha4!C43,1)</f>
        <v/>
      </c>
      <c r="G41" t="str">
        <f>SUBSTITUTE(Planilha4!D42,Planilha4!D43,Planilha4!D43,1)</f>
        <v/>
      </c>
      <c r="H41" t="str">
        <f>SUBSTITUTE(Planilha4!E42,Planilha4!E43,Planilha4!E43,1)</f>
        <v/>
      </c>
      <c r="I41" t="str">
        <f>SUBSTITUTE(Planilha4!F42,Planilha4!F43,Planilha4!F43,1)</f>
        <v/>
      </c>
      <c r="J41" t="str">
        <f>SUBSTITUTE(Planilha4!G42,Planilha4!G43,Planilha4!G43,1)</f>
        <v/>
      </c>
      <c r="K41" t="str">
        <f>SUBSTITUTE(Planilha4!H42,Planilha4!H43,Planilha4!H43,1)</f>
        <v/>
      </c>
      <c r="L41" t="str">
        <f>SUBSTITUTE(Planilha4!I43,Planilha4!I43,Planilha4!I43,1)</f>
        <v/>
      </c>
      <c r="M41" t="str">
        <f>SUBSTITUTE(Planilha4!J43,Planilha4!J43,Planilha4!J43,1)</f>
        <v/>
      </c>
    </row>
    <row r="42" spans="1:13" x14ac:dyDescent="0.3">
      <c r="A42" t="str">
        <f>SUBSTITUTE(Planilha4!A37,Planilha4!A37,Planilha4!A37,1)</f>
        <v/>
      </c>
      <c r="B42" t="str">
        <f>SUBSTITUTE(Planilha4!B37,Planilha4!B37,Planilha4!B37,1)</f>
        <v/>
      </c>
      <c r="C42" t="str">
        <f>SUBSTITUTE(Planilha4!C37,Planilha4!C37,Planilha4!C37,1)</f>
        <v/>
      </c>
      <c r="D42" t="str">
        <f>SUBSTITUTE(Planilha4!A43,Planilha4!A44,Planilha4!A44,1)</f>
        <v/>
      </c>
      <c r="E42" t="str">
        <f>SUBSTITUTE(Planilha4!B43,Planilha4!B44,Planilha4!B44,1)</f>
        <v/>
      </c>
      <c r="F42" t="str">
        <f>SUBSTITUTE(Planilha4!C43,Planilha4!C44,Planilha4!C44,1)</f>
        <v/>
      </c>
      <c r="G42" t="str">
        <f>SUBSTITUTE(Planilha4!D43,Planilha4!D44,Planilha4!D44,1)</f>
        <v/>
      </c>
      <c r="H42" t="str">
        <f>SUBSTITUTE(Planilha4!E43,Planilha4!E44,Planilha4!E44,1)</f>
        <v/>
      </c>
      <c r="I42" t="str">
        <f>SUBSTITUTE(Planilha4!F43,Planilha4!F44,Planilha4!F44,1)</f>
        <v/>
      </c>
      <c r="J42" t="str">
        <f>SUBSTITUTE(Planilha4!G43,Planilha4!G44,Planilha4!G44,1)</f>
        <v/>
      </c>
      <c r="K42" t="str">
        <f>SUBSTITUTE(Planilha4!H43,Planilha4!H44,Planilha4!H44,1)</f>
        <v/>
      </c>
      <c r="L42" t="str">
        <f>SUBSTITUTE(Planilha4!I44,Planilha4!I44,Planilha4!I44,1)</f>
        <v/>
      </c>
      <c r="M42" t="str">
        <f>SUBSTITUTE(Planilha4!J44,Planilha4!J44,Planilha4!J44,1)</f>
        <v/>
      </c>
    </row>
    <row r="43" spans="1:13" x14ac:dyDescent="0.3">
      <c r="A43" t="str">
        <f>SUBSTITUTE(Planilha4!A38,Planilha4!A38,Planilha4!A38,1)</f>
        <v/>
      </c>
      <c r="B43" t="str">
        <f>SUBSTITUTE(Planilha4!B38,Planilha4!B38,Planilha4!B38,1)</f>
        <v/>
      </c>
      <c r="C43" t="str">
        <f>SUBSTITUTE(Planilha4!C38,Planilha4!C38,Planilha4!C38,1)</f>
        <v/>
      </c>
      <c r="D43" t="str">
        <f>SUBSTITUTE(Planilha4!A44,Planilha4!A45,Planilha4!A45,1)</f>
        <v/>
      </c>
      <c r="E43" t="str">
        <f>SUBSTITUTE(Planilha4!B44,Planilha4!B45,Planilha4!B45,1)</f>
        <v/>
      </c>
      <c r="F43" t="str">
        <f>SUBSTITUTE(Planilha4!C44,Planilha4!C45,Planilha4!C45,1)</f>
        <v/>
      </c>
      <c r="G43" t="str">
        <f>SUBSTITUTE(Planilha4!D44,Planilha4!D45,Planilha4!D45,1)</f>
        <v/>
      </c>
      <c r="H43" t="str">
        <f>SUBSTITUTE(Planilha4!E44,Planilha4!E45,Planilha4!E45,1)</f>
        <v/>
      </c>
      <c r="I43" t="str">
        <f>SUBSTITUTE(Planilha4!F44,Planilha4!F45,Planilha4!F45,1)</f>
        <v/>
      </c>
      <c r="J43" t="str">
        <f>SUBSTITUTE(Planilha4!G44,Planilha4!G45,Planilha4!G45,1)</f>
        <v/>
      </c>
      <c r="K43" t="str">
        <f>SUBSTITUTE(Planilha4!H44,Planilha4!H45,Planilha4!H45,1)</f>
        <v/>
      </c>
      <c r="L43" t="str">
        <f>SUBSTITUTE(Planilha4!I45,Planilha4!I45,Planilha4!I45,1)</f>
        <v/>
      </c>
      <c r="M43" t="str">
        <f>SUBSTITUTE(Planilha4!J45,Planilha4!J45,Planilha4!J45,1)</f>
        <v/>
      </c>
    </row>
    <row r="44" spans="1:13" x14ac:dyDescent="0.3">
      <c r="A44" t="str">
        <f>SUBSTITUTE(Planilha4!A39,Planilha4!A39,Planilha4!A39,1)</f>
        <v/>
      </c>
      <c r="B44" t="str">
        <f>SUBSTITUTE(Planilha4!B39,Planilha4!B39,Planilha4!B39,1)</f>
        <v/>
      </c>
      <c r="C44" t="str">
        <f>SUBSTITUTE(Planilha4!C39,Planilha4!C39,Planilha4!C39,1)</f>
        <v/>
      </c>
      <c r="D44" t="str">
        <f>SUBSTITUTE(Planilha4!A45,Planilha4!A46,Planilha4!A46,1)</f>
        <v/>
      </c>
      <c r="E44" t="str">
        <f>SUBSTITUTE(Planilha4!B45,Planilha4!B46,Planilha4!B46,1)</f>
        <v/>
      </c>
      <c r="F44" t="str">
        <f>SUBSTITUTE(Planilha4!C45,Planilha4!C46,Planilha4!C46,1)</f>
        <v/>
      </c>
      <c r="G44" t="str">
        <f>SUBSTITUTE(Planilha4!D45,Planilha4!D46,Planilha4!D46,1)</f>
        <v/>
      </c>
      <c r="H44" t="str">
        <f>SUBSTITUTE(Planilha4!E45,Planilha4!E46,Planilha4!E46,1)</f>
        <v/>
      </c>
      <c r="I44" t="str">
        <f>SUBSTITUTE(Planilha4!F45,Planilha4!F46,Planilha4!F46,1)</f>
        <v/>
      </c>
      <c r="J44" t="str">
        <f>SUBSTITUTE(Planilha4!G45,Planilha4!G46,Planilha4!G46,1)</f>
        <v/>
      </c>
      <c r="K44" t="str">
        <f>SUBSTITUTE(Planilha4!H45,Planilha4!H46,Planilha4!H46,1)</f>
        <v/>
      </c>
      <c r="L44" t="str">
        <f>SUBSTITUTE(Planilha4!I46,Planilha4!I46,Planilha4!I46,1)</f>
        <v/>
      </c>
      <c r="M44" t="str">
        <f>SUBSTITUTE(Planilha4!J46,Planilha4!J46,Planilha4!J46,1)</f>
        <v/>
      </c>
    </row>
    <row r="45" spans="1:13" x14ac:dyDescent="0.3">
      <c r="A45" t="str">
        <f>SUBSTITUTE(Planilha4!A40,Planilha4!A40,Planilha4!A40,1)</f>
        <v/>
      </c>
      <c r="B45" t="str">
        <f>SUBSTITUTE(Planilha4!B40,Planilha4!B40,Planilha4!B40,1)</f>
        <v/>
      </c>
      <c r="C45" t="str">
        <f>SUBSTITUTE(Planilha4!C40,Planilha4!C40,Planilha4!C40,1)</f>
        <v/>
      </c>
      <c r="D45" t="str">
        <f>SUBSTITUTE(Planilha4!A46,Planilha4!A47,Planilha4!A47,1)</f>
        <v/>
      </c>
      <c r="E45" t="str">
        <f>SUBSTITUTE(Planilha4!B46,Planilha4!B47,Planilha4!B47,1)</f>
        <v/>
      </c>
      <c r="F45" t="str">
        <f>SUBSTITUTE(Planilha4!C46,Planilha4!C47,Planilha4!C47,1)</f>
        <v/>
      </c>
      <c r="G45" t="str">
        <f>SUBSTITUTE(Planilha4!D46,Planilha4!D47,Planilha4!D47,1)</f>
        <v/>
      </c>
      <c r="H45" t="str">
        <f>SUBSTITUTE(Planilha4!E46,Planilha4!E47,Planilha4!E47,1)</f>
        <v/>
      </c>
      <c r="I45" t="str">
        <f>SUBSTITUTE(Planilha4!F46,Planilha4!F47,Planilha4!F47,1)</f>
        <v/>
      </c>
      <c r="J45" t="str">
        <f>SUBSTITUTE(Planilha4!G46,Planilha4!G47,Planilha4!G47,1)</f>
        <v/>
      </c>
      <c r="K45" t="str">
        <f>SUBSTITUTE(Planilha4!H46,Planilha4!H47,Planilha4!H47,1)</f>
        <v/>
      </c>
      <c r="L45" t="str">
        <f>SUBSTITUTE(Planilha4!I47,Planilha4!I47,Planilha4!I47,1)</f>
        <v/>
      </c>
      <c r="M45" t="str">
        <f>SUBSTITUTE(Planilha4!J47,Planilha4!J47,Planilha4!J47,1)</f>
        <v/>
      </c>
    </row>
    <row r="46" spans="1:13" x14ac:dyDescent="0.3">
      <c r="A46" t="str">
        <f>SUBSTITUTE(Planilha4!A41,Planilha4!A41,Planilha4!A41,1)</f>
        <v/>
      </c>
      <c r="B46" t="str">
        <f>SUBSTITUTE(Planilha4!B41,Planilha4!B41,Planilha4!B41,1)</f>
        <v/>
      </c>
      <c r="C46" t="str">
        <f>SUBSTITUTE(Planilha4!C41,Planilha4!C41,Planilha4!C41,1)</f>
        <v/>
      </c>
      <c r="D46" t="str">
        <f>SUBSTITUTE(Planilha4!A47,Planilha4!A48,Planilha4!A48,1)</f>
        <v/>
      </c>
      <c r="E46" t="str">
        <f>SUBSTITUTE(Planilha4!B47,Planilha4!B48,Planilha4!B48,1)</f>
        <v/>
      </c>
      <c r="F46" t="str">
        <f>SUBSTITUTE(Planilha4!C47,Planilha4!C48,Planilha4!C48,1)</f>
        <v/>
      </c>
      <c r="G46" t="str">
        <f>SUBSTITUTE(Planilha4!D47,Planilha4!D48,Planilha4!D48,1)</f>
        <v/>
      </c>
      <c r="H46" t="str">
        <f>SUBSTITUTE(Planilha4!E47,Planilha4!E48,Planilha4!E48,1)</f>
        <v/>
      </c>
      <c r="I46" t="str">
        <f>SUBSTITUTE(Planilha4!F47,Planilha4!F48,Planilha4!F48,1)</f>
        <v/>
      </c>
      <c r="J46" t="str">
        <f>SUBSTITUTE(Planilha4!G47,Planilha4!G48,Planilha4!G48,1)</f>
        <v/>
      </c>
      <c r="K46" t="str">
        <f>SUBSTITUTE(Planilha4!H47,Planilha4!H48,Planilha4!H48,1)</f>
        <v/>
      </c>
      <c r="L46" t="str">
        <f>SUBSTITUTE(Planilha4!I48,Planilha4!I48,Planilha4!I48,1)</f>
        <v/>
      </c>
      <c r="M46" t="str">
        <f>SUBSTITUTE(Planilha4!J48,Planilha4!J48,Planilha4!J48,1)</f>
        <v/>
      </c>
    </row>
    <row r="47" spans="1:13" x14ac:dyDescent="0.3">
      <c r="A47" t="str">
        <f>SUBSTITUTE(Planilha4!A42,Planilha4!A42,Planilha4!A42,1)</f>
        <v/>
      </c>
      <c r="B47" t="str">
        <f>SUBSTITUTE(Planilha4!B42,Planilha4!B42,Planilha4!B42,1)</f>
        <v/>
      </c>
      <c r="C47" t="str">
        <f>SUBSTITUTE(Planilha4!C42,Planilha4!C42,Planilha4!C42,1)</f>
        <v/>
      </c>
      <c r="D47" t="str">
        <f>SUBSTITUTE(Planilha4!A48,Planilha4!A49,Planilha4!A49,1)</f>
        <v/>
      </c>
      <c r="E47" t="str">
        <f>SUBSTITUTE(Planilha4!B48,Planilha4!B49,Planilha4!B49,1)</f>
        <v/>
      </c>
      <c r="F47" t="str">
        <f>SUBSTITUTE(Planilha4!C48,Planilha4!C49,Planilha4!C49,1)</f>
        <v/>
      </c>
      <c r="G47" t="str">
        <f>SUBSTITUTE(Planilha4!D48,Planilha4!D49,Planilha4!D49,1)</f>
        <v/>
      </c>
      <c r="H47" t="str">
        <f>SUBSTITUTE(Planilha4!E48,Planilha4!E49,Planilha4!E49,1)</f>
        <v/>
      </c>
      <c r="I47" t="str">
        <f>SUBSTITUTE(Planilha4!F48,Planilha4!F49,Planilha4!F49,1)</f>
        <v/>
      </c>
      <c r="J47" t="str">
        <f>SUBSTITUTE(Planilha4!G48,Planilha4!G49,Planilha4!G49,1)</f>
        <v/>
      </c>
      <c r="K47" t="str">
        <f>SUBSTITUTE(Planilha4!H48,Planilha4!H49,Planilha4!H49,1)</f>
        <v/>
      </c>
      <c r="L47" t="str">
        <f>SUBSTITUTE(Planilha4!I49,Planilha4!I49,Planilha4!I49,1)</f>
        <v/>
      </c>
      <c r="M47" t="str">
        <f>SUBSTITUTE(Planilha4!J49,Planilha4!J49,Planilha4!J49,1)</f>
        <v/>
      </c>
    </row>
    <row r="48" spans="1:13" x14ac:dyDescent="0.3">
      <c r="A48" t="str">
        <f>SUBSTITUTE(Planilha4!A43,Planilha4!A43,Planilha4!A43,1)</f>
        <v/>
      </c>
      <c r="B48" t="str">
        <f>SUBSTITUTE(Planilha4!B43,Planilha4!B43,Planilha4!B43,1)</f>
        <v/>
      </c>
      <c r="C48" t="str">
        <f>SUBSTITUTE(Planilha4!C43,Planilha4!C43,Planilha4!C43,1)</f>
        <v/>
      </c>
      <c r="D48" t="str">
        <f>SUBSTITUTE(Planilha4!A49,Planilha4!A50,Planilha4!A50,1)</f>
        <v/>
      </c>
      <c r="E48" t="str">
        <f>SUBSTITUTE(Planilha4!B49,Planilha4!B50,Planilha4!B50,1)</f>
        <v/>
      </c>
      <c r="F48" t="str">
        <f>SUBSTITUTE(Planilha4!C49,Planilha4!C50,Planilha4!C50,1)</f>
        <v/>
      </c>
      <c r="G48" t="str">
        <f>SUBSTITUTE(Planilha4!D49,Planilha4!D50,Planilha4!D50,1)</f>
        <v/>
      </c>
      <c r="H48" t="str">
        <f>SUBSTITUTE(Planilha4!E49,Planilha4!E50,Planilha4!E50,1)</f>
        <v/>
      </c>
      <c r="I48" t="str">
        <f>SUBSTITUTE(Planilha4!F49,Planilha4!F50,Planilha4!F50,1)</f>
        <v/>
      </c>
      <c r="J48" t="str">
        <f>SUBSTITUTE(Planilha4!G49,Planilha4!G50,Planilha4!G50,1)</f>
        <v/>
      </c>
      <c r="K48" t="str">
        <f>SUBSTITUTE(Planilha4!H49,Planilha4!H50,Planilha4!H50,1)</f>
        <v/>
      </c>
      <c r="L48" t="str">
        <f>SUBSTITUTE(Planilha4!I50,Planilha4!I50,Planilha4!I50,1)</f>
        <v/>
      </c>
      <c r="M48" t="str">
        <f>SUBSTITUTE(Planilha4!J50,Planilha4!J50,Planilha4!J50,1)</f>
        <v/>
      </c>
    </row>
    <row r="49" spans="1:13" x14ac:dyDescent="0.3">
      <c r="A49" t="str">
        <f>SUBSTITUTE(Planilha4!A44,Planilha4!A44,Planilha4!A44,1)</f>
        <v/>
      </c>
      <c r="B49" t="str">
        <f>SUBSTITUTE(Planilha4!B44,Planilha4!B44,Planilha4!B44,1)</f>
        <v/>
      </c>
      <c r="C49" t="str">
        <f>SUBSTITUTE(Planilha4!C44,Planilha4!C44,Planilha4!C44,1)</f>
        <v/>
      </c>
      <c r="D49" t="str">
        <f>SUBSTITUTE(Planilha4!A50,Planilha4!A51,Planilha4!A51,1)</f>
        <v/>
      </c>
      <c r="E49" t="str">
        <f>SUBSTITUTE(Planilha4!B50,Planilha4!B51,Planilha4!B51,1)</f>
        <v/>
      </c>
      <c r="F49" t="str">
        <f>SUBSTITUTE(Planilha4!C50,Planilha4!C51,Planilha4!C51,1)</f>
        <v/>
      </c>
      <c r="G49" t="str">
        <f>SUBSTITUTE(Planilha4!D50,Planilha4!D51,Planilha4!D51,1)</f>
        <v/>
      </c>
      <c r="H49" t="str">
        <f>SUBSTITUTE(Planilha4!E50,Planilha4!E51,Planilha4!E51,1)</f>
        <v/>
      </c>
      <c r="I49" t="str">
        <f>SUBSTITUTE(Planilha4!F50,Planilha4!F51,Planilha4!F51,1)</f>
        <v/>
      </c>
      <c r="J49" t="str">
        <f>SUBSTITUTE(Planilha4!G50,Planilha4!G51,Planilha4!G51,1)</f>
        <v/>
      </c>
      <c r="K49" t="str">
        <f>SUBSTITUTE(Planilha4!H50,Planilha4!H51,Planilha4!H51,1)</f>
        <v/>
      </c>
      <c r="L49" t="str">
        <f>SUBSTITUTE(Planilha4!I51,Planilha4!I51,Planilha4!I51,1)</f>
        <v/>
      </c>
      <c r="M49" t="str">
        <f>SUBSTITUTE(Planilha4!J51,Planilha4!J51,Planilha4!J51,1)</f>
        <v/>
      </c>
    </row>
    <row r="50" spans="1:13" x14ac:dyDescent="0.3">
      <c r="A50" t="str">
        <f>SUBSTITUTE(Planilha4!A45,Planilha4!A45,Planilha4!A45,1)</f>
        <v/>
      </c>
      <c r="B50" t="str">
        <f>SUBSTITUTE(Planilha4!B45,Planilha4!B45,Planilha4!B45,1)</f>
        <v/>
      </c>
      <c r="C50" t="str">
        <f>SUBSTITUTE(Planilha4!C45,Planilha4!C45,Planilha4!C45,1)</f>
        <v/>
      </c>
      <c r="D50" t="str">
        <f>SUBSTITUTE(Planilha4!A51,Planilha4!A52,Planilha4!A52,1)</f>
        <v/>
      </c>
      <c r="E50" t="str">
        <f>SUBSTITUTE(Planilha4!B51,Planilha4!B52,Planilha4!B52,1)</f>
        <v/>
      </c>
      <c r="F50" t="str">
        <f>SUBSTITUTE(Planilha4!C51,Planilha4!C52,Planilha4!C52,1)</f>
        <v/>
      </c>
      <c r="G50" t="str">
        <f>SUBSTITUTE(Planilha4!D51,Planilha4!D52,Planilha4!D52,1)</f>
        <v/>
      </c>
      <c r="H50" t="str">
        <f>SUBSTITUTE(Planilha4!E51,Planilha4!E52,Planilha4!E52,1)</f>
        <v/>
      </c>
      <c r="I50" t="str">
        <f>SUBSTITUTE(Planilha4!F51,Planilha4!F52,Planilha4!F52,1)</f>
        <v/>
      </c>
      <c r="J50" t="str">
        <f>SUBSTITUTE(Planilha4!G51,Planilha4!G52,Planilha4!G52,1)</f>
        <v/>
      </c>
      <c r="K50" t="str">
        <f>SUBSTITUTE(Planilha4!H51,Planilha4!H52,Planilha4!H52,1)</f>
        <v/>
      </c>
      <c r="L50" t="str">
        <f>SUBSTITUTE(Planilha4!I52,Planilha4!I52,Planilha4!I52,1)</f>
        <v/>
      </c>
      <c r="M50" t="str">
        <f>SUBSTITUTE(Planilha4!J52,Planilha4!J52,Planilha4!J52,1)</f>
        <v/>
      </c>
    </row>
    <row r="51" spans="1:13" x14ac:dyDescent="0.3">
      <c r="A51" t="str">
        <f>SUBSTITUTE(Planilha4!A46,Planilha4!A46,Planilha4!A46,1)</f>
        <v/>
      </c>
      <c r="B51" t="str">
        <f>SUBSTITUTE(Planilha4!B46,Planilha4!B46,Planilha4!B46,1)</f>
        <v/>
      </c>
      <c r="C51" t="str">
        <f>SUBSTITUTE(Planilha4!C46,Planilha4!C46,Planilha4!C46,1)</f>
        <v/>
      </c>
      <c r="D51" t="str">
        <f>SUBSTITUTE(Planilha4!A52,Planilha4!A53,Planilha4!A53,1)</f>
        <v/>
      </c>
      <c r="E51" t="str">
        <f>SUBSTITUTE(Planilha4!B52,Planilha4!B53,Planilha4!B53,1)</f>
        <v/>
      </c>
      <c r="F51" t="str">
        <f>SUBSTITUTE(Planilha4!C52,Planilha4!C53,Planilha4!C53,1)</f>
        <v/>
      </c>
      <c r="G51" t="str">
        <f>SUBSTITUTE(Planilha4!D52,Planilha4!D53,Planilha4!D53,1)</f>
        <v/>
      </c>
      <c r="H51" t="str">
        <f>SUBSTITUTE(Planilha4!E52,Planilha4!E53,Planilha4!E53,1)</f>
        <v/>
      </c>
      <c r="I51" t="str">
        <f>SUBSTITUTE(Planilha4!F52,Planilha4!F53,Planilha4!F53,1)</f>
        <v/>
      </c>
      <c r="J51" t="str">
        <f>SUBSTITUTE(Planilha4!G52,Planilha4!G53,Planilha4!G53,1)</f>
        <v/>
      </c>
      <c r="K51" t="str">
        <f>SUBSTITUTE(Planilha4!H52,Planilha4!H53,Planilha4!H53,1)</f>
        <v/>
      </c>
      <c r="L51" t="str">
        <f>SUBSTITUTE(Planilha4!I53,Planilha4!I53,Planilha4!I53,1)</f>
        <v/>
      </c>
      <c r="M51" t="str">
        <f>SUBSTITUTE(Planilha4!J53,Planilha4!J53,Planilha4!J53,1)</f>
        <v/>
      </c>
    </row>
    <row r="52" spans="1:13" x14ac:dyDescent="0.3">
      <c r="A52" t="str">
        <f>SUBSTITUTE(Planilha4!A47,Planilha4!A47,Planilha4!A47,1)</f>
        <v/>
      </c>
      <c r="B52" t="str">
        <f>SUBSTITUTE(Planilha4!B47,Planilha4!B47,Planilha4!B47,1)</f>
        <v/>
      </c>
      <c r="C52" t="str">
        <f>SUBSTITUTE(Planilha4!C47,Planilha4!C47,Planilha4!C47,1)</f>
        <v/>
      </c>
      <c r="D52" t="str">
        <f>SUBSTITUTE(Planilha4!A53,Planilha4!A54,Planilha4!A54,1)</f>
        <v/>
      </c>
      <c r="E52" t="str">
        <f>SUBSTITUTE(Planilha4!B53,Planilha4!B54,Planilha4!B54,1)</f>
        <v/>
      </c>
      <c r="F52" t="str">
        <f>SUBSTITUTE(Planilha4!C53,Planilha4!C54,Planilha4!C54,1)</f>
        <v/>
      </c>
      <c r="G52" t="str">
        <f>SUBSTITUTE(Planilha4!D53,Planilha4!D54,Planilha4!D54,1)</f>
        <v/>
      </c>
      <c r="H52" t="str">
        <f>SUBSTITUTE(Planilha4!E53,Planilha4!E54,Planilha4!E54,1)</f>
        <v/>
      </c>
      <c r="I52" t="str">
        <f>SUBSTITUTE(Planilha4!F53,Planilha4!F54,Planilha4!F54,1)</f>
        <v/>
      </c>
      <c r="J52" t="str">
        <f>SUBSTITUTE(Planilha4!G53,Planilha4!G54,Planilha4!G54,1)</f>
        <v/>
      </c>
      <c r="K52" t="str">
        <f>SUBSTITUTE(Planilha4!H53,Planilha4!H54,Planilha4!H54,1)</f>
        <v/>
      </c>
      <c r="L52" t="str">
        <f>SUBSTITUTE(Planilha4!I54,Planilha4!I54,Planilha4!I54,1)</f>
        <v/>
      </c>
      <c r="M52" t="str">
        <f>SUBSTITUTE(Planilha4!J54,Planilha4!J54,Planilha4!J54,1)</f>
        <v/>
      </c>
    </row>
    <row r="53" spans="1:13" x14ac:dyDescent="0.3">
      <c r="A53" t="str">
        <f>SUBSTITUTE(Planilha4!A48,Planilha4!A48,Planilha4!A48,1)</f>
        <v/>
      </c>
      <c r="B53" t="str">
        <f>SUBSTITUTE(Planilha4!B48,Planilha4!B48,Planilha4!B48,1)</f>
        <v/>
      </c>
      <c r="C53" t="str">
        <f>SUBSTITUTE(Planilha4!C48,Planilha4!C48,Planilha4!C48,1)</f>
        <v/>
      </c>
      <c r="D53" t="str">
        <f>SUBSTITUTE(Planilha4!A54,Planilha4!A55,Planilha4!A55,1)</f>
        <v/>
      </c>
      <c r="E53" t="str">
        <f>SUBSTITUTE(Planilha4!B54,Planilha4!B55,Planilha4!B55,1)</f>
        <v/>
      </c>
      <c r="F53" t="str">
        <f>SUBSTITUTE(Planilha4!C54,Planilha4!C55,Planilha4!C55,1)</f>
        <v/>
      </c>
      <c r="G53" t="str">
        <f>SUBSTITUTE(Planilha4!D54,Planilha4!D55,Planilha4!D55,1)</f>
        <v/>
      </c>
      <c r="H53" t="str">
        <f>SUBSTITUTE(Planilha4!E54,Planilha4!E55,Planilha4!E55,1)</f>
        <v/>
      </c>
      <c r="I53" t="str">
        <f>SUBSTITUTE(Planilha4!F54,Planilha4!F55,Planilha4!F55,1)</f>
        <v/>
      </c>
      <c r="J53" t="str">
        <f>SUBSTITUTE(Planilha4!G54,Planilha4!G55,Planilha4!G55,1)</f>
        <v/>
      </c>
      <c r="K53" t="str">
        <f>SUBSTITUTE(Planilha4!H54,Planilha4!H55,Planilha4!H55,1)</f>
        <v/>
      </c>
      <c r="L53" t="str">
        <f>SUBSTITUTE(Planilha4!I55,Planilha4!I55,Planilha4!I55,1)</f>
        <v/>
      </c>
      <c r="M53" t="str">
        <f>SUBSTITUTE(Planilha4!J55,Planilha4!J55,Planilha4!J55,1)</f>
        <v/>
      </c>
    </row>
    <row r="54" spans="1:13" x14ac:dyDescent="0.3">
      <c r="A54" t="str">
        <f>SUBSTITUTE(Planilha4!A49,Planilha4!A49,Planilha4!A49,1)</f>
        <v/>
      </c>
      <c r="B54" t="str">
        <f>SUBSTITUTE(Planilha4!B49,Planilha4!B49,Planilha4!B49,1)</f>
        <v/>
      </c>
      <c r="C54" t="str">
        <f>SUBSTITUTE(Planilha4!C49,Planilha4!C49,Planilha4!C49,1)</f>
        <v/>
      </c>
      <c r="D54" t="str">
        <f>SUBSTITUTE(Planilha4!A55,Planilha4!A56,Planilha4!A56,1)</f>
        <v/>
      </c>
      <c r="E54" t="str">
        <f>SUBSTITUTE(Planilha4!B55,Planilha4!B56,Planilha4!B56,1)</f>
        <v/>
      </c>
      <c r="F54" t="str">
        <f>SUBSTITUTE(Planilha4!C55,Planilha4!C56,Planilha4!C56,1)</f>
        <v/>
      </c>
      <c r="G54" t="str">
        <f>SUBSTITUTE(Planilha4!D55,Planilha4!D56,Planilha4!D56,1)</f>
        <v/>
      </c>
      <c r="H54" t="str">
        <f>SUBSTITUTE(Planilha4!E55,Planilha4!E56,Planilha4!E56,1)</f>
        <v/>
      </c>
      <c r="I54" t="str">
        <f>SUBSTITUTE(Planilha4!F55,Planilha4!F56,Planilha4!F56,1)</f>
        <v/>
      </c>
      <c r="J54" t="str">
        <f>SUBSTITUTE(Planilha4!G55,Planilha4!G56,Planilha4!G56,1)</f>
        <v/>
      </c>
      <c r="K54" t="str">
        <f>SUBSTITUTE(Planilha4!H55,Planilha4!H56,Planilha4!H56,1)</f>
        <v/>
      </c>
      <c r="L54" t="str">
        <f>SUBSTITUTE(Planilha4!I56,Planilha4!I56,Planilha4!I56,1)</f>
        <v/>
      </c>
      <c r="M54" t="str">
        <f>SUBSTITUTE(Planilha4!J56,Planilha4!J56,Planilha4!J56,1)</f>
        <v/>
      </c>
    </row>
    <row r="55" spans="1:13" x14ac:dyDescent="0.3">
      <c r="A55" t="str">
        <f>SUBSTITUTE(Planilha4!A50,Planilha4!A50,Planilha4!A50,1)</f>
        <v/>
      </c>
      <c r="B55" t="str">
        <f>SUBSTITUTE(Planilha4!B50,Planilha4!B50,Planilha4!B50,1)</f>
        <v/>
      </c>
      <c r="C55" t="str">
        <f>SUBSTITUTE(Planilha4!C50,Planilha4!C50,Planilha4!C50,1)</f>
        <v/>
      </c>
      <c r="D55" t="str">
        <f>SUBSTITUTE(Planilha4!A56,Planilha4!A57,Planilha4!A57,1)</f>
        <v/>
      </c>
      <c r="E55" t="str">
        <f>SUBSTITUTE(Planilha4!B56,Planilha4!B57,Planilha4!B57,1)</f>
        <v/>
      </c>
      <c r="F55" t="str">
        <f>SUBSTITUTE(Planilha4!C56,Planilha4!C57,Planilha4!C57,1)</f>
        <v/>
      </c>
      <c r="G55" t="str">
        <f>SUBSTITUTE(Planilha4!D56,Planilha4!D57,Planilha4!D57,1)</f>
        <v/>
      </c>
      <c r="H55" t="str">
        <f>SUBSTITUTE(Planilha4!E56,Planilha4!E57,Planilha4!E57,1)</f>
        <v/>
      </c>
      <c r="I55" t="str">
        <f>SUBSTITUTE(Planilha4!F56,Planilha4!F57,Planilha4!F57,1)</f>
        <v/>
      </c>
      <c r="J55" t="str">
        <f>SUBSTITUTE(Planilha4!G56,Planilha4!G57,Planilha4!G57,1)</f>
        <v/>
      </c>
      <c r="K55" t="str">
        <f>SUBSTITUTE(Planilha4!H56,Planilha4!H57,Planilha4!H57,1)</f>
        <v/>
      </c>
      <c r="L55" t="str">
        <f>SUBSTITUTE(Planilha4!I57,Planilha4!I57,Planilha4!I57,1)</f>
        <v/>
      </c>
      <c r="M55" t="str">
        <f>SUBSTITUTE(Planilha4!J57,Planilha4!J57,Planilha4!J57,1)</f>
        <v/>
      </c>
    </row>
    <row r="56" spans="1:13" x14ac:dyDescent="0.3">
      <c r="A56" t="str">
        <f>SUBSTITUTE(Planilha4!A51,Planilha4!A51,Planilha4!A51,1)</f>
        <v/>
      </c>
      <c r="B56" t="str">
        <f>SUBSTITUTE(Planilha4!B51,Planilha4!B51,Planilha4!B51,1)</f>
        <v/>
      </c>
      <c r="C56" t="str">
        <f>SUBSTITUTE(Planilha4!C51,Planilha4!C51,Planilha4!C51,1)</f>
        <v/>
      </c>
      <c r="D56" t="str">
        <f>SUBSTITUTE(Planilha4!A57,Planilha4!A58,Planilha4!A58,1)</f>
        <v/>
      </c>
      <c r="E56" t="str">
        <f>SUBSTITUTE(Planilha4!B57,Planilha4!B58,Planilha4!B58,1)</f>
        <v/>
      </c>
      <c r="F56" t="str">
        <f>SUBSTITUTE(Planilha4!C57,Planilha4!C58,Planilha4!C58,1)</f>
        <v/>
      </c>
      <c r="G56" t="str">
        <f>SUBSTITUTE(Planilha4!D57,Planilha4!D58,Planilha4!D58,1)</f>
        <v/>
      </c>
      <c r="H56" t="str">
        <f>SUBSTITUTE(Planilha4!E57,Planilha4!E58,Planilha4!E58,1)</f>
        <v/>
      </c>
      <c r="I56" t="str">
        <f>SUBSTITUTE(Planilha4!F57,Planilha4!F58,Planilha4!F58,1)</f>
        <v/>
      </c>
      <c r="J56" t="str">
        <f>SUBSTITUTE(Planilha4!G57,Planilha4!G58,Planilha4!G58,1)</f>
        <v/>
      </c>
      <c r="K56" t="str">
        <f>SUBSTITUTE(Planilha4!H57,Planilha4!H58,Planilha4!H58,1)</f>
        <v/>
      </c>
      <c r="L56" t="str">
        <f>SUBSTITUTE(Planilha4!I58,Planilha4!I58,Planilha4!I58,1)</f>
        <v/>
      </c>
      <c r="M56" t="str">
        <f>SUBSTITUTE(Planilha4!J58,Planilha4!J58,Planilha4!J58,1)</f>
        <v/>
      </c>
    </row>
    <row r="57" spans="1:13" x14ac:dyDescent="0.3">
      <c r="A57" t="str">
        <f>SUBSTITUTE(Planilha4!A52,Planilha4!A52,Planilha4!A52,1)</f>
        <v/>
      </c>
      <c r="B57" t="str">
        <f>SUBSTITUTE(Planilha4!B52,Planilha4!B52,Planilha4!B52,1)</f>
        <v/>
      </c>
      <c r="C57" t="str">
        <f>SUBSTITUTE(Planilha4!C52,Planilha4!C52,Planilha4!C52,1)</f>
        <v/>
      </c>
      <c r="D57" t="str">
        <f>SUBSTITUTE(Planilha4!A58,Planilha4!A59,Planilha4!A59,1)</f>
        <v/>
      </c>
      <c r="E57" t="str">
        <f>SUBSTITUTE(Planilha4!B58,Planilha4!B59,Planilha4!B59,1)</f>
        <v/>
      </c>
      <c r="F57" t="str">
        <f>SUBSTITUTE(Planilha4!C58,Planilha4!C59,Planilha4!C59,1)</f>
        <v/>
      </c>
      <c r="G57" t="str">
        <f>SUBSTITUTE(Planilha4!D58,Planilha4!D59,Planilha4!D59,1)</f>
        <v/>
      </c>
      <c r="H57" t="str">
        <f>SUBSTITUTE(Planilha4!E58,Planilha4!E59,Planilha4!E59,1)</f>
        <v/>
      </c>
      <c r="I57" t="str">
        <f>SUBSTITUTE(Planilha4!F58,Planilha4!F59,Planilha4!F59,1)</f>
        <v/>
      </c>
      <c r="J57" t="str">
        <f>SUBSTITUTE(Planilha4!G58,Planilha4!G59,Planilha4!G59,1)</f>
        <v/>
      </c>
      <c r="K57" t="str">
        <f>SUBSTITUTE(Planilha4!H58,Planilha4!H59,Planilha4!H59,1)</f>
        <v/>
      </c>
      <c r="L57" t="str">
        <f>SUBSTITUTE(Planilha4!I59,Planilha4!I59,Planilha4!I59,1)</f>
        <v/>
      </c>
      <c r="M57" t="str">
        <f>SUBSTITUTE(Planilha4!J59,Planilha4!J59,Planilha4!J59,1)</f>
        <v/>
      </c>
    </row>
    <row r="58" spans="1:13" x14ac:dyDescent="0.3">
      <c r="A58" t="str">
        <f>SUBSTITUTE(Planilha4!A53,Planilha4!A53,Planilha4!A53,1)</f>
        <v/>
      </c>
      <c r="B58" t="str">
        <f>SUBSTITUTE(Planilha4!B53,Planilha4!B53,Planilha4!B53,1)</f>
        <v/>
      </c>
      <c r="C58" t="str">
        <f>SUBSTITUTE(Planilha4!C53,Planilha4!C53,Planilha4!C53,1)</f>
        <v/>
      </c>
      <c r="D58" t="str">
        <f>SUBSTITUTE(Planilha4!A59,Planilha4!A60,Planilha4!A60,1)</f>
        <v/>
      </c>
      <c r="E58" t="str">
        <f>SUBSTITUTE(Planilha4!B59,Planilha4!B60,Planilha4!B60,1)</f>
        <v/>
      </c>
      <c r="F58" t="str">
        <f>SUBSTITUTE(Planilha4!C59,Planilha4!C60,Planilha4!C60,1)</f>
        <v/>
      </c>
      <c r="G58" t="str">
        <f>SUBSTITUTE(Planilha4!D59,Planilha4!D60,Planilha4!D60,1)</f>
        <v/>
      </c>
      <c r="H58" t="str">
        <f>SUBSTITUTE(Planilha4!E59,Planilha4!E60,Planilha4!E60,1)</f>
        <v/>
      </c>
      <c r="I58" t="str">
        <f>SUBSTITUTE(Planilha4!F59,Planilha4!F60,Planilha4!F60,1)</f>
        <v/>
      </c>
      <c r="J58" t="str">
        <f>SUBSTITUTE(Planilha4!G59,Planilha4!G60,Planilha4!G60,1)</f>
        <v/>
      </c>
      <c r="K58" t="str">
        <f>SUBSTITUTE(Planilha4!H59,Planilha4!H60,Planilha4!H60,1)</f>
        <v/>
      </c>
      <c r="L58" t="str">
        <f>SUBSTITUTE(Planilha4!I60,Planilha4!I60,Planilha4!I60,1)</f>
        <v/>
      </c>
      <c r="M58" t="str">
        <f>SUBSTITUTE(Planilha4!J60,Planilha4!J60,Planilha4!J60,1)</f>
        <v/>
      </c>
    </row>
    <row r="59" spans="1:13" x14ac:dyDescent="0.3">
      <c r="A59" t="str">
        <f>SUBSTITUTE(Planilha4!A54,Planilha4!A54,Planilha4!A54,1)</f>
        <v/>
      </c>
      <c r="B59" t="str">
        <f>SUBSTITUTE(Planilha4!B54,Planilha4!B54,Planilha4!B54,1)</f>
        <v/>
      </c>
      <c r="C59" t="str">
        <f>SUBSTITUTE(Planilha4!C54,Planilha4!C54,Planilha4!C54,1)</f>
        <v/>
      </c>
      <c r="D59" t="str">
        <f>SUBSTITUTE(Planilha4!A60,Planilha4!A61,Planilha4!A61,1)</f>
        <v/>
      </c>
      <c r="E59" t="str">
        <f>SUBSTITUTE(Planilha4!B60,Planilha4!B61,Planilha4!B61,1)</f>
        <v/>
      </c>
      <c r="F59" t="str">
        <f>SUBSTITUTE(Planilha4!C60,Planilha4!C61,Planilha4!C61,1)</f>
        <v/>
      </c>
      <c r="G59" t="str">
        <f>SUBSTITUTE(Planilha4!D60,Planilha4!D61,Planilha4!D61,1)</f>
        <v/>
      </c>
      <c r="H59" t="str">
        <f>SUBSTITUTE(Planilha4!E60,Planilha4!E61,Planilha4!E61,1)</f>
        <v/>
      </c>
      <c r="I59" t="str">
        <f>SUBSTITUTE(Planilha4!F60,Planilha4!F61,Planilha4!F61,1)</f>
        <v/>
      </c>
      <c r="J59" t="str">
        <f>SUBSTITUTE(Planilha4!G60,Planilha4!G61,Planilha4!G61,1)</f>
        <v/>
      </c>
      <c r="K59" t="str">
        <f>SUBSTITUTE(Planilha4!H60,Planilha4!H61,Planilha4!H61,1)</f>
        <v/>
      </c>
      <c r="L59" t="str">
        <f>SUBSTITUTE(Planilha4!I61,Planilha4!I61,Planilha4!I61,1)</f>
        <v/>
      </c>
      <c r="M59" t="str">
        <f>SUBSTITUTE(Planilha4!J61,Planilha4!J61,Planilha4!J61,1)</f>
        <v/>
      </c>
    </row>
    <row r="60" spans="1:13" x14ac:dyDescent="0.3">
      <c r="A60" t="str">
        <f>SUBSTITUTE(Planilha4!A55,Planilha4!A55,Planilha4!A55,1)</f>
        <v/>
      </c>
      <c r="B60" t="str">
        <f>SUBSTITUTE(Planilha4!B55,Planilha4!B55,Planilha4!B55,1)</f>
        <v/>
      </c>
      <c r="C60" t="str">
        <f>SUBSTITUTE(Planilha4!C55,Planilha4!C55,Planilha4!C55,1)</f>
        <v/>
      </c>
      <c r="D60" t="str">
        <f>SUBSTITUTE(Planilha4!A61,Planilha4!A62,Planilha4!A62,1)</f>
        <v/>
      </c>
      <c r="E60" t="str">
        <f>SUBSTITUTE(Planilha4!B61,Planilha4!B62,Planilha4!B62,1)</f>
        <v/>
      </c>
      <c r="F60" t="str">
        <f>SUBSTITUTE(Planilha4!C61,Planilha4!C62,Planilha4!C62,1)</f>
        <v/>
      </c>
      <c r="G60" t="str">
        <f>SUBSTITUTE(Planilha4!D61,Planilha4!D62,Planilha4!D62,1)</f>
        <v/>
      </c>
      <c r="H60" t="str">
        <f>SUBSTITUTE(Planilha4!E61,Planilha4!E62,Planilha4!E62,1)</f>
        <v/>
      </c>
      <c r="I60" t="str">
        <f>SUBSTITUTE(Planilha4!F61,Planilha4!F62,Planilha4!F62,1)</f>
        <v/>
      </c>
      <c r="J60" t="str">
        <f>SUBSTITUTE(Planilha4!G61,Planilha4!G62,Planilha4!G62,1)</f>
        <v/>
      </c>
      <c r="K60" t="str">
        <f>SUBSTITUTE(Planilha4!H61,Planilha4!H62,Planilha4!H62,1)</f>
        <v/>
      </c>
      <c r="L60" t="str">
        <f>SUBSTITUTE(Planilha4!I62,Planilha4!I62,Planilha4!I62,1)</f>
        <v/>
      </c>
      <c r="M60" t="str">
        <f>SUBSTITUTE(Planilha4!J62,Planilha4!J62,Planilha4!J62,1)</f>
        <v/>
      </c>
    </row>
    <row r="61" spans="1:13" x14ac:dyDescent="0.3">
      <c r="A61" t="str">
        <f>SUBSTITUTE(Planilha4!A56,Planilha4!A56,Planilha4!A56,1)</f>
        <v/>
      </c>
      <c r="B61" t="str">
        <f>SUBSTITUTE(Planilha4!B56,Planilha4!B56,Planilha4!B56,1)</f>
        <v/>
      </c>
      <c r="C61" t="str">
        <f>SUBSTITUTE(Planilha4!C56,Planilha4!C56,Planilha4!C56,1)</f>
        <v/>
      </c>
      <c r="D61" t="str">
        <f>SUBSTITUTE(Planilha4!A62,Planilha4!A63,Planilha4!A63,1)</f>
        <v/>
      </c>
      <c r="E61" t="str">
        <f>SUBSTITUTE(Planilha4!B62,Planilha4!B63,Planilha4!B63,1)</f>
        <v/>
      </c>
      <c r="F61" t="str">
        <f>SUBSTITUTE(Planilha4!C62,Planilha4!C63,Planilha4!C63,1)</f>
        <v/>
      </c>
      <c r="G61" t="str">
        <f>SUBSTITUTE(Planilha4!D62,Planilha4!D63,Planilha4!D63,1)</f>
        <v/>
      </c>
      <c r="H61" t="str">
        <f>SUBSTITUTE(Planilha4!E62,Planilha4!E63,Planilha4!E63,1)</f>
        <v/>
      </c>
      <c r="I61" t="str">
        <f>SUBSTITUTE(Planilha4!F62,Planilha4!F63,Planilha4!F63,1)</f>
        <v/>
      </c>
      <c r="J61" t="str">
        <f>SUBSTITUTE(Planilha4!G62,Planilha4!G63,Planilha4!G63,1)</f>
        <v/>
      </c>
      <c r="K61" t="str">
        <f>SUBSTITUTE(Planilha4!H62,Planilha4!H63,Planilha4!H63,1)</f>
        <v/>
      </c>
      <c r="L61" t="str">
        <f>SUBSTITUTE(Planilha4!I63,Planilha4!I63,Planilha4!I63,1)</f>
        <v/>
      </c>
      <c r="M61" t="str">
        <f>SUBSTITUTE(Planilha4!J63,Planilha4!J63,Planilha4!J63,1)</f>
        <v/>
      </c>
    </row>
    <row r="62" spans="1:13" x14ac:dyDescent="0.3">
      <c r="A62" t="str">
        <f>SUBSTITUTE(Planilha4!A57,Planilha4!A57,Planilha4!A57,1)</f>
        <v/>
      </c>
      <c r="B62" t="str">
        <f>SUBSTITUTE(Planilha4!B57,Planilha4!B57,Planilha4!B57,1)</f>
        <v/>
      </c>
      <c r="C62" t="str">
        <f>SUBSTITUTE(Planilha4!C57,Planilha4!C57,Planilha4!C57,1)</f>
        <v/>
      </c>
      <c r="D62" t="str">
        <f>SUBSTITUTE(Planilha4!A63,Planilha4!A64,Planilha4!A64,1)</f>
        <v/>
      </c>
      <c r="E62" t="str">
        <f>SUBSTITUTE(Planilha4!B63,Planilha4!B64,Planilha4!B64,1)</f>
        <v/>
      </c>
      <c r="F62" t="str">
        <f>SUBSTITUTE(Planilha4!C63,Planilha4!C64,Planilha4!C64,1)</f>
        <v/>
      </c>
      <c r="G62" t="str">
        <f>SUBSTITUTE(Planilha4!D63,Planilha4!D64,Planilha4!D64,1)</f>
        <v/>
      </c>
      <c r="H62" t="str">
        <f>SUBSTITUTE(Planilha4!E63,Planilha4!E64,Planilha4!E64,1)</f>
        <v/>
      </c>
      <c r="I62" t="str">
        <f>SUBSTITUTE(Planilha4!F63,Planilha4!F64,Planilha4!F64,1)</f>
        <v/>
      </c>
      <c r="J62" t="str">
        <f>SUBSTITUTE(Planilha4!G63,Planilha4!G64,Planilha4!G64,1)</f>
        <v/>
      </c>
      <c r="K62" t="str">
        <f>SUBSTITUTE(Planilha4!H63,Planilha4!H64,Planilha4!H64,1)</f>
        <v/>
      </c>
      <c r="L62" t="str">
        <f>SUBSTITUTE(Planilha4!I64,Planilha4!I64,Planilha4!I64,1)</f>
        <v/>
      </c>
      <c r="M62" t="str">
        <f>SUBSTITUTE(Planilha4!J64,Planilha4!J64,Planilha4!J64,1)</f>
        <v/>
      </c>
    </row>
    <row r="63" spans="1:13" x14ac:dyDescent="0.3">
      <c r="A63" t="str">
        <f>SUBSTITUTE(Planilha4!A58,Planilha4!A58,Planilha4!A58,1)</f>
        <v/>
      </c>
      <c r="B63" t="str">
        <f>SUBSTITUTE(Planilha4!B58,Planilha4!B58,Planilha4!B58,1)</f>
        <v/>
      </c>
      <c r="C63" t="str">
        <f>SUBSTITUTE(Planilha4!C58,Planilha4!C58,Planilha4!C58,1)</f>
        <v/>
      </c>
      <c r="D63" t="str">
        <f>SUBSTITUTE(Planilha4!A64,Planilha4!A65,Planilha4!A65,1)</f>
        <v/>
      </c>
      <c r="E63" t="str">
        <f>SUBSTITUTE(Planilha4!B64,Planilha4!B65,Planilha4!B65,1)</f>
        <v/>
      </c>
      <c r="F63" t="str">
        <f>SUBSTITUTE(Planilha4!C64,Planilha4!C65,Planilha4!C65,1)</f>
        <v/>
      </c>
      <c r="G63" t="str">
        <f>SUBSTITUTE(Planilha4!D64,Planilha4!D65,Planilha4!D65,1)</f>
        <v/>
      </c>
      <c r="H63" t="str">
        <f>SUBSTITUTE(Planilha4!E64,Planilha4!E65,Planilha4!E65,1)</f>
        <v/>
      </c>
      <c r="I63" t="str">
        <f>SUBSTITUTE(Planilha4!F64,Planilha4!F65,Planilha4!F65,1)</f>
        <v/>
      </c>
      <c r="J63" t="str">
        <f>SUBSTITUTE(Planilha4!G64,Planilha4!G65,Planilha4!G65,1)</f>
        <v/>
      </c>
      <c r="K63" t="str">
        <f>SUBSTITUTE(Planilha4!H64,Planilha4!H65,Planilha4!H65,1)</f>
        <v/>
      </c>
      <c r="L63" t="str">
        <f>SUBSTITUTE(Planilha4!I65,Planilha4!I65,Planilha4!I65,1)</f>
        <v/>
      </c>
      <c r="M63" t="str">
        <f>SUBSTITUTE(Planilha4!J65,Planilha4!J65,Planilha4!J65,1)</f>
        <v/>
      </c>
    </row>
    <row r="64" spans="1:13" x14ac:dyDescent="0.3">
      <c r="A64" t="str">
        <f>SUBSTITUTE(Planilha4!A59,Planilha4!A59,Planilha4!A59,1)</f>
        <v/>
      </c>
      <c r="B64" t="str">
        <f>SUBSTITUTE(Planilha4!B59,Planilha4!B59,Planilha4!B59,1)</f>
        <v/>
      </c>
      <c r="C64" t="str">
        <f>SUBSTITUTE(Planilha4!C59,Planilha4!C59,Planilha4!C59,1)</f>
        <v/>
      </c>
      <c r="D64" t="str">
        <f>SUBSTITUTE(Planilha4!A65,Planilha4!A66,Planilha4!A66,1)</f>
        <v/>
      </c>
      <c r="E64" t="str">
        <f>SUBSTITUTE(Planilha4!B65,Planilha4!B66,Planilha4!B66,1)</f>
        <v/>
      </c>
      <c r="F64" t="str">
        <f>SUBSTITUTE(Planilha4!C65,Planilha4!C66,Planilha4!C66,1)</f>
        <v/>
      </c>
      <c r="G64" t="str">
        <f>SUBSTITUTE(Planilha4!D65,Planilha4!D66,Planilha4!D66,1)</f>
        <v/>
      </c>
      <c r="H64" t="str">
        <f>SUBSTITUTE(Planilha4!E65,Planilha4!E66,Planilha4!E66,1)</f>
        <v/>
      </c>
      <c r="I64" t="str">
        <f>SUBSTITUTE(Planilha4!F65,Planilha4!F66,Planilha4!F66,1)</f>
        <v/>
      </c>
      <c r="J64" t="str">
        <f>SUBSTITUTE(Planilha4!G65,Planilha4!G66,Planilha4!G66,1)</f>
        <v/>
      </c>
      <c r="K64" t="str">
        <f>SUBSTITUTE(Planilha4!H65,Planilha4!H66,Planilha4!H66,1)</f>
        <v/>
      </c>
      <c r="L64" t="str">
        <f>SUBSTITUTE(Planilha4!I66,Planilha4!I66,Planilha4!I66,1)</f>
        <v/>
      </c>
      <c r="M64" t="str">
        <f>SUBSTITUTE(Planilha4!J66,Planilha4!J66,Planilha4!J66,1)</f>
        <v/>
      </c>
    </row>
    <row r="65" spans="1:13" x14ac:dyDescent="0.3">
      <c r="A65" t="str">
        <f>SUBSTITUTE(Planilha4!A60,Planilha4!A60,Planilha4!A60,1)</f>
        <v/>
      </c>
      <c r="B65" t="str">
        <f>SUBSTITUTE(Planilha4!B60,Planilha4!B60,Planilha4!B60,1)</f>
        <v/>
      </c>
      <c r="C65" t="str">
        <f>SUBSTITUTE(Planilha4!C60,Planilha4!C60,Planilha4!C60,1)</f>
        <v/>
      </c>
      <c r="D65" t="str">
        <f>SUBSTITUTE(Planilha4!A66,Planilha4!A67,Planilha4!A67,1)</f>
        <v/>
      </c>
      <c r="E65" t="str">
        <f>SUBSTITUTE(Planilha4!B66,Planilha4!B67,Planilha4!B67,1)</f>
        <v/>
      </c>
      <c r="F65" t="str">
        <f>SUBSTITUTE(Planilha4!C66,Planilha4!C67,Planilha4!C67,1)</f>
        <v/>
      </c>
      <c r="G65" t="str">
        <f>SUBSTITUTE(Planilha4!D66,Planilha4!D67,Planilha4!D67,1)</f>
        <v/>
      </c>
      <c r="H65" t="str">
        <f>SUBSTITUTE(Planilha4!E66,Planilha4!E67,Planilha4!E67,1)</f>
        <v/>
      </c>
      <c r="I65" t="str">
        <f>SUBSTITUTE(Planilha4!F66,Planilha4!F67,Planilha4!F67,1)</f>
        <v/>
      </c>
      <c r="J65" t="str">
        <f>SUBSTITUTE(Planilha4!G66,Planilha4!G67,Planilha4!G67,1)</f>
        <v/>
      </c>
      <c r="K65" t="str">
        <f>SUBSTITUTE(Planilha4!H66,Planilha4!H67,Planilha4!H67,1)</f>
        <v/>
      </c>
      <c r="L65" t="str">
        <f>SUBSTITUTE(Planilha4!I67,Planilha4!I67,Planilha4!I67,1)</f>
        <v/>
      </c>
      <c r="M65" t="str">
        <f>SUBSTITUTE(Planilha4!J67,Planilha4!J67,Planilha4!J67,1)</f>
        <v/>
      </c>
    </row>
    <row r="66" spans="1:13" x14ac:dyDescent="0.3">
      <c r="A66" t="str">
        <f>SUBSTITUTE(Planilha4!A61,Planilha4!A61,Planilha4!A61,1)</f>
        <v/>
      </c>
      <c r="B66" t="str">
        <f>SUBSTITUTE(Planilha4!B61,Planilha4!B61,Planilha4!B61,1)</f>
        <v/>
      </c>
      <c r="C66" t="str">
        <f>SUBSTITUTE(Planilha4!C61,Planilha4!C61,Planilha4!C61,1)</f>
        <v/>
      </c>
      <c r="D66" t="str">
        <f>SUBSTITUTE(Planilha4!A67,Planilha4!A68,Planilha4!A68,1)</f>
        <v/>
      </c>
      <c r="E66" t="str">
        <f>SUBSTITUTE(Planilha4!B67,Planilha4!B68,Planilha4!B68,1)</f>
        <v/>
      </c>
      <c r="F66" t="str">
        <f>SUBSTITUTE(Planilha4!C67,Planilha4!C68,Planilha4!C68,1)</f>
        <v/>
      </c>
      <c r="G66" t="str">
        <f>SUBSTITUTE(Planilha4!D67,Planilha4!D68,Planilha4!D68,1)</f>
        <v/>
      </c>
      <c r="H66" t="str">
        <f>SUBSTITUTE(Planilha4!E67,Planilha4!E68,Planilha4!E68,1)</f>
        <v/>
      </c>
      <c r="I66" t="str">
        <f>SUBSTITUTE(Planilha4!F67,Planilha4!F68,Planilha4!F68,1)</f>
        <v/>
      </c>
      <c r="J66" t="str">
        <f>SUBSTITUTE(Planilha4!G67,Planilha4!G68,Planilha4!G68,1)</f>
        <v/>
      </c>
      <c r="K66" t="str">
        <f>SUBSTITUTE(Planilha4!H67,Planilha4!H68,Planilha4!H68,1)</f>
        <v/>
      </c>
      <c r="L66" t="str">
        <f>SUBSTITUTE(Planilha4!I68,Planilha4!I68,Planilha4!I68,1)</f>
        <v/>
      </c>
      <c r="M66" t="str">
        <f>SUBSTITUTE(Planilha4!J68,Planilha4!J68,Planilha4!J68,1)</f>
        <v/>
      </c>
    </row>
    <row r="67" spans="1:13" x14ac:dyDescent="0.3">
      <c r="A67" t="str">
        <f>SUBSTITUTE(Planilha4!A62,Planilha4!A62,Planilha4!A62,1)</f>
        <v/>
      </c>
      <c r="B67" t="str">
        <f>SUBSTITUTE(Planilha4!B62,Planilha4!B62,Planilha4!B62,1)</f>
        <v/>
      </c>
      <c r="C67" t="str">
        <f>SUBSTITUTE(Planilha4!C62,Planilha4!C62,Planilha4!C62,1)</f>
        <v/>
      </c>
      <c r="D67" t="str">
        <f>SUBSTITUTE(Planilha4!A68,Planilha4!A69,Planilha4!A69,1)</f>
        <v/>
      </c>
      <c r="E67" t="str">
        <f>SUBSTITUTE(Planilha4!B68,Planilha4!B69,Planilha4!B69,1)</f>
        <v/>
      </c>
      <c r="F67" t="str">
        <f>SUBSTITUTE(Planilha4!C68,Planilha4!C69,Planilha4!C69,1)</f>
        <v/>
      </c>
      <c r="G67" t="str">
        <f>SUBSTITUTE(Planilha4!D68,Planilha4!D69,Planilha4!D69,1)</f>
        <v/>
      </c>
      <c r="H67" t="str">
        <f>SUBSTITUTE(Planilha4!E68,Planilha4!E69,Planilha4!E69,1)</f>
        <v/>
      </c>
      <c r="I67" t="str">
        <f>SUBSTITUTE(Planilha4!F68,Planilha4!F69,Planilha4!F69,1)</f>
        <v/>
      </c>
      <c r="J67" t="str">
        <f>SUBSTITUTE(Planilha4!G68,Planilha4!G69,Planilha4!G69,1)</f>
        <v/>
      </c>
      <c r="K67" t="str">
        <f>SUBSTITUTE(Planilha4!H68,Planilha4!H69,Planilha4!H69,1)</f>
        <v/>
      </c>
      <c r="L67" t="str">
        <f>SUBSTITUTE(Planilha4!I69,Planilha4!I69,Planilha4!I69,1)</f>
        <v/>
      </c>
      <c r="M67" t="str">
        <f>SUBSTITUTE(Planilha4!J69,Planilha4!J69,Planilha4!J69,1)</f>
        <v/>
      </c>
    </row>
    <row r="68" spans="1:13" x14ac:dyDescent="0.3">
      <c r="A68" t="str">
        <f>SUBSTITUTE(Planilha4!A63,Planilha4!A63,Planilha4!A63,1)</f>
        <v/>
      </c>
      <c r="B68" t="str">
        <f>SUBSTITUTE(Planilha4!B63,Planilha4!B63,Planilha4!B63,1)</f>
        <v/>
      </c>
      <c r="C68" t="str">
        <f>SUBSTITUTE(Planilha4!C63,Planilha4!C63,Planilha4!C63,1)</f>
        <v/>
      </c>
      <c r="D68" t="str">
        <f>SUBSTITUTE(Planilha4!A69,Planilha4!A70,Planilha4!A70,1)</f>
        <v/>
      </c>
      <c r="E68" t="str">
        <f>SUBSTITUTE(Planilha4!B69,Planilha4!B70,Planilha4!B70,1)</f>
        <v/>
      </c>
      <c r="F68" t="str">
        <f>SUBSTITUTE(Planilha4!C69,Planilha4!C70,Planilha4!C70,1)</f>
        <v/>
      </c>
      <c r="G68" t="str">
        <f>SUBSTITUTE(Planilha4!D69,Planilha4!D70,Planilha4!D70,1)</f>
        <v/>
      </c>
      <c r="H68" t="str">
        <f>SUBSTITUTE(Planilha4!E69,Planilha4!E70,Planilha4!E70,1)</f>
        <v/>
      </c>
      <c r="I68" t="str">
        <f>SUBSTITUTE(Planilha4!F69,Planilha4!F70,Planilha4!F70,1)</f>
        <v/>
      </c>
      <c r="J68" t="str">
        <f>SUBSTITUTE(Planilha4!G69,Planilha4!G70,Planilha4!G70,1)</f>
        <v/>
      </c>
      <c r="K68" t="str">
        <f>SUBSTITUTE(Planilha4!H69,Planilha4!H70,Planilha4!H70,1)</f>
        <v/>
      </c>
      <c r="L68" t="str">
        <f>SUBSTITUTE(Planilha4!I70,Planilha4!I70,Planilha4!I70,1)</f>
        <v/>
      </c>
      <c r="M68" t="str">
        <f>SUBSTITUTE(Planilha4!J70,Planilha4!J70,Planilha4!J70,1)</f>
        <v/>
      </c>
    </row>
    <row r="69" spans="1:13" x14ac:dyDescent="0.3">
      <c r="A69" t="str">
        <f>SUBSTITUTE(Planilha4!A64,Planilha4!A64,Planilha4!A64,1)</f>
        <v/>
      </c>
      <c r="B69" t="str">
        <f>SUBSTITUTE(Planilha4!B64,Planilha4!B64,Planilha4!B64,1)</f>
        <v/>
      </c>
      <c r="C69" t="str">
        <f>SUBSTITUTE(Planilha4!C64,Planilha4!C64,Planilha4!C64,1)</f>
        <v/>
      </c>
      <c r="D69" t="str">
        <f>SUBSTITUTE(Planilha4!A70,Planilha4!A71,Planilha4!A71,1)</f>
        <v/>
      </c>
      <c r="E69" t="str">
        <f>SUBSTITUTE(Planilha4!B70,Planilha4!B71,Planilha4!B71,1)</f>
        <v/>
      </c>
      <c r="F69" t="str">
        <f>SUBSTITUTE(Planilha4!C70,Planilha4!C71,Planilha4!C71,1)</f>
        <v/>
      </c>
      <c r="G69" t="str">
        <f>SUBSTITUTE(Planilha4!D70,Planilha4!D71,Planilha4!D71,1)</f>
        <v/>
      </c>
      <c r="H69" t="str">
        <f>SUBSTITUTE(Planilha4!E70,Planilha4!E71,Planilha4!E71,1)</f>
        <v/>
      </c>
      <c r="I69" t="str">
        <f>SUBSTITUTE(Planilha4!F70,Planilha4!F71,Planilha4!F71,1)</f>
        <v/>
      </c>
      <c r="J69" t="str">
        <f>SUBSTITUTE(Planilha4!G70,Planilha4!G71,Planilha4!G71,1)</f>
        <v/>
      </c>
      <c r="K69" t="str">
        <f>SUBSTITUTE(Planilha4!H70,Planilha4!H71,Planilha4!H71,1)</f>
        <v/>
      </c>
      <c r="L69" t="str">
        <f>SUBSTITUTE(Planilha4!I71,Planilha4!I71,Planilha4!I71,1)</f>
        <v/>
      </c>
      <c r="M69" t="str">
        <f>SUBSTITUTE(Planilha4!J71,Planilha4!J71,Planilha4!J71,1)</f>
        <v/>
      </c>
    </row>
    <row r="70" spans="1:13" x14ac:dyDescent="0.3">
      <c r="A70" t="str">
        <f>SUBSTITUTE(Planilha4!A65,Planilha4!A65,Planilha4!A65,1)</f>
        <v/>
      </c>
      <c r="B70" t="str">
        <f>SUBSTITUTE(Planilha4!B65,Planilha4!B65,Planilha4!B65,1)</f>
        <v/>
      </c>
      <c r="C70" t="str">
        <f>SUBSTITUTE(Planilha4!C65,Planilha4!C65,Planilha4!C65,1)</f>
        <v/>
      </c>
      <c r="D70" t="str">
        <f>SUBSTITUTE(Planilha4!A71,Planilha4!A72,Planilha4!A72,1)</f>
        <v/>
      </c>
      <c r="E70" t="str">
        <f>SUBSTITUTE(Planilha4!B71,Planilha4!B72,Planilha4!B72,1)</f>
        <v/>
      </c>
      <c r="F70" t="str">
        <f>SUBSTITUTE(Planilha4!C71,Planilha4!C72,Planilha4!C72,1)</f>
        <v/>
      </c>
      <c r="G70" t="str">
        <f>SUBSTITUTE(Planilha4!D71,Planilha4!D72,Planilha4!D72,1)</f>
        <v/>
      </c>
      <c r="H70" t="str">
        <f>SUBSTITUTE(Planilha4!E71,Planilha4!E72,Planilha4!E72,1)</f>
        <v/>
      </c>
      <c r="I70" t="str">
        <f>SUBSTITUTE(Planilha4!F71,Planilha4!F72,Planilha4!F72,1)</f>
        <v/>
      </c>
      <c r="J70" t="str">
        <f>SUBSTITUTE(Planilha4!G71,Planilha4!G72,Planilha4!G72,1)</f>
        <v/>
      </c>
      <c r="K70" t="str">
        <f>SUBSTITUTE(Planilha4!H71,Planilha4!H72,Planilha4!H72,1)</f>
        <v/>
      </c>
      <c r="L70" t="str">
        <f>SUBSTITUTE(Planilha4!I72,Planilha4!I72,Planilha4!I72,1)</f>
        <v/>
      </c>
      <c r="M70" t="str">
        <f>SUBSTITUTE(Planilha4!J72,Planilha4!J72,Planilha4!J72,1)</f>
        <v/>
      </c>
    </row>
    <row r="71" spans="1:13" x14ac:dyDescent="0.3">
      <c r="A71" t="str">
        <f>SUBSTITUTE(Planilha4!A66,Planilha4!A66,Planilha4!A66,1)</f>
        <v/>
      </c>
      <c r="B71" t="str">
        <f>SUBSTITUTE(Planilha4!B66,Planilha4!B66,Planilha4!B66,1)</f>
        <v/>
      </c>
      <c r="C71" t="str">
        <f>SUBSTITUTE(Planilha4!C66,Planilha4!C66,Planilha4!C66,1)</f>
        <v/>
      </c>
      <c r="D71" t="str">
        <f>SUBSTITUTE(Planilha4!A72,Planilha4!A73,Planilha4!A73,1)</f>
        <v/>
      </c>
      <c r="E71" t="str">
        <f>SUBSTITUTE(Planilha4!B72,Planilha4!B73,Planilha4!B73,1)</f>
        <v/>
      </c>
      <c r="F71" t="str">
        <f>SUBSTITUTE(Planilha4!C72,Planilha4!C73,Planilha4!C73,1)</f>
        <v/>
      </c>
      <c r="G71" t="str">
        <f>SUBSTITUTE(Planilha4!D72,Planilha4!D73,Planilha4!D73,1)</f>
        <v/>
      </c>
      <c r="H71" t="str">
        <f>SUBSTITUTE(Planilha4!E72,Planilha4!E73,Planilha4!E73,1)</f>
        <v/>
      </c>
      <c r="I71" t="str">
        <f>SUBSTITUTE(Planilha4!F72,Planilha4!F73,Planilha4!F73,1)</f>
        <v/>
      </c>
      <c r="J71" t="str">
        <f>SUBSTITUTE(Planilha4!G72,Planilha4!G73,Planilha4!G73,1)</f>
        <v/>
      </c>
      <c r="K71" t="str">
        <f>SUBSTITUTE(Planilha4!H72,Planilha4!H73,Planilha4!H73,1)</f>
        <v/>
      </c>
      <c r="L71" t="str">
        <f>SUBSTITUTE(Planilha4!I73,Planilha4!I73,Planilha4!I73,1)</f>
        <v/>
      </c>
      <c r="M71" t="str">
        <f>SUBSTITUTE(Planilha4!J73,Planilha4!J73,Planilha4!J73,1)</f>
        <v/>
      </c>
    </row>
    <row r="72" spans="1:13" x14ac:dyDescent="0.3">
      <c r="A72" t="str">
        <f>SUBSTITUTE(Planilha4!A67,Planilha4!A67,Planilha4!A67,1)</f>
        <v/>
      </c>
      <c r="B72" t="str">
        <f>SUBSTITUTE(Planilha4!B67,Planilha4!B67,Planilha4!B67,1)</f>
        <v/>
      </c>
      <c r="C72" t="str">
        <f>SUBSTITUTE(Planilha4!C67,Planilha4!C67,Planilha4!C67,1)</f>
        <v/>
      </c>
      <c r="D72" t="str">
        <f>SUBSTITUTE(Planilha4!A73,Planilha4!A74,Planilha4!A74,1)</f>
        <v/>
      </c>
      <c r="E72" t="str">
        <f>SUBSTITUTE(Planilha4!B73,Planilha4!B74,Planilha4!B74,1)</f>
        <v/>
      </c>
      <c r="F72" t="str">
        <f>SUBSTITUTE(Planilha4!C73,Planilha4!C74,Planilha4!C74,1)</f>
        <v/>
      </c>
      <c r="G72" t="str">
        <f>SUBSTITUTE(Planilha4!D73,Planilha4!D74,Planilha4!D74,1)</f>
        <v/>
      </c>
      <c r="H72" t="str">
        <f>SUBSTITUTE(Planilha4!E73,Planilha4!E74,Planilha4!E74,1)</f>
        <v/>
      </c>
      <c r="I72" t="str">
        <f>SUBSTITUTE(Planilha4!F73,Planilha4!F74,Planilha4!F74,1)</f>
        <v/>
      </c>
      <c r="J72" t="str">
        <f>SUBSTITUTE(Planilha4!G73,Planilha4!G74,Planilha4!G74,1)</f>
        <v/>
      </c>
      <c r="K72" t="str">
        <f>SUBSTITUTE(Planilha4!H73,Planilha4!H74,Planilha4!H74,1)</f>
        <v/>
      </c>
      <c r="L72" t="str">
        <f>SUBSTITUTE(Planilha4!I74,Planilha4!I74,Planilha4!I74,1)</f>
        <v/>
      </c>
      <c r="M72" t="str">
        <f>SUBSTITUTE(Planilha4!J74,Planilha4!J74,Planilha4!J74,1)</f>
        <v/>
      </c>
    </row>
    <row r="73" spans="1:13" x14ac:dyDescent="0.3">
      <c r="A73" t="str">
        <f>SUBSTITUTE(Planilha4!A68,Planilha4!A68,Planilha4!A68,1)</f>
        <v/>
      </c>
      <c r="B73" t="str">
        <f>SUBSTITUTE(Planilha4!B68,Planilha4!B68,Planilha4!B68,1)</f>
        <v/>
      </c>
      <c r="C73" t="str">
        <f>SUBSTITUTE(Planilha4!C68,Planilha4!C68,Planilha4!C68,1)</f>
        <v/>
      </c>
      <c r="D73" t="str">
        <f>SUBSTITUTE(Planilha4!A74,Planilha4!A75,Planilha4!A75,1)</f>
        <v/>
      </c>
      <c r="E73" t="str">
        <f>SUBSTITUTE(Planilha4!B74,Planilha4!B75,Planilha4!B75,1)</f>
        <v/>
      </c>
      <c r="F73" t="str">
        <f>SUBSTITUTE(Planilha4!C74,Planilha4!C75,Planilha4!C75,1)</f>
        <v/>
      </c>
      <c r="G73" t="str">
        <f>SUBSTITUTE(Planilha4!D74,Planilha4!D75,Planilha4!D75,1)</f>
        <v/>
      </c>
      <c r="H73" t="str">
        <f>SUBSTITUTE(Planilha4!E74,Planilha4!E75,Planilha4!E75,1)</f>
        <v/>
      </c>
      <c r="I73" t="str">
        <f>SUBSTITUTE(Planilha4!F74,Planilha4!F75,Planilha4!F75,1)</f>
        <v/>
      </c>
      <c r="J73" t="str">
        <f>SUBSTITUTE(Planilha4!G74,Planilha4!G75,Planilha4!G75,1)</f>
        <v/>
      </c>
      <c r="K73" t="str">
        <f>SUBSTITUTE(Planilha4!H74,Planilha4!H75,Planilha4!H75,1)</f>
        <v/>
      </c>
      <c r="L73" t="str">
        <f>SUBSTITUTE(Planilha4!I75,Planilha4!I75,Planilha4!I75,1)</f>
        <v/>
      </c>
      <c r="M73" t="str">
        <f>SUBSTITUTE(Planilha4!J75,Planilha4!J75,Planilha4!J75,1)</f>
        <v/>
      </c>
    </row>
    <row r="74" spans="1:13" x14ac:dyDescent="0.3">
      <c r="A74" t="str">
        <f>SUBSTITUTE(Planilha4!A69,Planilha4!A69,Planilha4!A69,1)</f>
        <v/>
      </c>
      <c r="B74" t="str">
        <f>SUBSTITUTE(Planilha4!B69,Planilha4!B69,Planilha4!B69,1)</f>
        <v/>
      </c>
      <c r="C74" t="str">
        <f>SUBSTITUTE(Planilha4!C69,Planilha4!C69,Planilha4!C69,1)</f>
        <v/>
      </c>
      <c r="D74" t="str">
        <f>SUBSTITUTE(Planilha4!A75,Planilha4!A76,Planilha4!A76,1)</f>
        <v/>
      </c>
      <c r="E74" t="str">
        <f>SUBSTITUTE(Planilha4!B75,Planilha4!B76,Planilha4!B76,1)</f>
        <v/>
      </c>
      <c r="F74" t="str">
        <f>SUBSTITUTE(Planilha4!C75,Planilha4!C76,Planilha4!C76,1)</f>
        <v/>
      </c>
      <c r="G74" t="str">
        <f>SUBSTITUTE(Planilha4!D75,Planilha4!D76,Planilha4!D76,1)</f>
        <v/>
      </c>
      <c r="H74" t="str">
        <f>SUBSTITUTE(Planilha4!E75,Planilha4!E76,Planilha4!E76,1)</f>
        <v/>
      </c>
      <c r="I74" t="str">
        <f>SUBSTITUTE(Planilha4!F75,Planilha4!F76,Planilha4!F76,1)</f>
        <v/>
      </c>
      <c r="J74" t="str">
        <f>SUBSTITUTE(Planilha4!G75,Planilha4!G76,Planilha4!G76,1)</f>
        <v/>
      </c>
      <c r="K74" t="str">
        <f>SUBSTITUTE(Planilha4!H75,Planilha4!H76,Planilha4!H76,1)</f>
        <v/>
      </c>
      <c r="L74" t="str">
        <f>SUBSTITUTE(Planilha4!I76,Planilha4!I76,Planilha4!I76,1)</f>
        <v/>
      </c>
      <c r="M74" t="str">
        <f>SUBSTITUTE(Planilha4!J76,Planilha4!J76,Planilha4!J76,1)</f>
        <v/>
      </c>
    </row>
    <row r="75" spans="1:13" x14ac:dyDescent="0.3">
      <c r="A75" t="str">
        <f>SUBSTITUTE(Planilha4!A70,Planilha4!A70,Planilha4!A70,1)</f>
        <v/>
      </c>
      <c r="B75" t="str">
        <f>SUBSTITUTE(Planilha4!B70,Planilha4!B70,Planilha4!B70,1)</f>
        <v/>
      </c>
      <c r="C75" t="str">
        <f>SUBSTITUTE(Planilha4!C70,Planilha4!C70,Planilha4!C70,1)</f>
        <v/>
      </c>
      <c r="D75" t="str">
        <f>SUBSTITUTE(Planilha4!A76,Planilha4!A77,Planilha4!A77,1)</f>
        <v/>
      </c>
      <c r="E75" t="str">
        <f>SUBSTITUTE(Planilha4!B76,Planilha4!B77,Planilha4!B77,1)</f>
        <v/>
      </c>
      <c r="F75" t="str">
        <f>SUBSTITUTE(Planilha4!C76,Planilha4!C77,Planilha4!C77,1)</f>
        <v/>
      </c>
      <c r="G75" t="str">
        <f>SUBSTITUTE(Planilha4!D76,Planilha4!D77,Planilha4!D77,1)</f>
        <v/>
      </c>
      <c r="H75" t="str">
        <f>SUBSTITUTE(Planilha4!E76,Planilha4!E77,Planilha4!E77,1)</f>
        <v/>
      </c>
      <c r="I75" t="str">
        <f>SUBSTITUTE(Planilha4!F76,Planilha4!F77,Planilha4!F77,1)</f>
        <v/>
      </c>
      <c r="J75" t="str">
        <f>SUBSTITUTE(Planilha4!G76,Planilha4!G77,Planilha4!G77,1)</f>
        <v/>
      </c>
      <c r="K75" t="str">
        <f>SUBSTITUTE(Planilha4!H76,Planilha4!H77,Planilha4!H77,1)</f>
        <v/>
      </c>
      <c r="L75" t="str">
        <f>SUBSTITUTE(Planilha4!I77,Planilha4!I77,Planilha4!I77,1)</f>
        <v/>
      </c>
      <c r="M75" t="str">
        <f>SUBSTITUTE(Planilha4!J77,Planilha4!J77,Planilha4!J77,1)</f>
        <v/>
      </c>
    </row>
    <row r="76" spans="1:13" x14ac:dyDescent="0.3">
      <c r="A76" t="str">
        <f>SUBSTITUTE(Planilha4!A71,Planilha4!A71,Planilha4!A71,1)</f>
        <v/>
      </c>
      <c r="B76" t="str">
        <f>SUBSTITUTE(Planilha4!B71,Planilha4!B71,Planilha4!B71,1)</f>
        <v/>
      </c>
      <c r="C76" t="str">
        <f>SUBSTITUTE(Planilha4!C71,Planilha4!C71,Planilha4!C71,1)</f>
        <v/>
      </c>
      <c r="D76" t="str">
        <f>SUBSTITUTE(Planilha4!A77,Planilha4!A78,Planilha4!A78,1)</f>
        <v/>
      </c>
      <c r="E76" t="str">
        <f>SUBSTITUTE(Planilha4!B77,Planilha4!B78,Planilha4!B78,1)</f>
        <v/>
      </c>
      <c r="F76" t="str">
        <f>SUBSTITUTE(Planilha4!C77,Planilha4!C78,Planilha4!C78,1)</f>
        <v/>
      </c>
      <c r="G76" t="str">
        <f>SUBSTITUTE(Planilha4!D77,Planilha4!D78,Planilha4!D78,1)</f>
        <v/>
      </c>
      <c r="H76" t="str">
        <f>SUBSTITUTE(Planilha4!E77,Planilha4!E78,Planilha4!E78,1)</f>
        <v/>
      </c>
      <c r="I76" t="str">
        <f>SUBSTITUTE(Planilha4!F77,Planilha4!F78,Planilha4!F78,1)</f>
        <v/>
      </c>
      <c r="J76" t="str">
        <f>SUBSTITUTE(Planilha4!G77,Planilha4!G78,Planilha4!G78,1)</f>
        <v/>
      </c>
      <c r="K76" t="str">
        <f>SUBSTITUTE(Planilha4!H77,Planilha4!H78,Planilha4!H78,1)</f>
        <v/>
      </c>
      <c r="L76" t="str">
        <f>SUBSTITUTE(Planilha4!I78,Planilha4!I78,Planilha4!I78,1)</f>
        <v/>
      </c>
      <c r="M76" t="str">
        <f>SUBSTITUTE(Planilha4!J78,Planilha4!J78,Planilha4!J78,1)</f>
        <v/>
      </c>
    </row>
    <row r="77" spans="1:13" x14ac:dyDescent="0.3">
      <c r="A77" t="str">
        <f>SUBSTITUTE(Planilha4!A72,Planilha4!A72,Planilha4!A72,1)</f>
        <v/>
      </c>
      <c r="B77" t="str">
        <f>SUBSTITUTE(Planilha4!B72,Planilha4!B72,Planilha4!B72,1)</f>
        <v/>
      </c>
      <c r="C77" t="str">
        <f>SUBSTITUTE(Planilha4!C72,Planilha4!C72,Planilha4!C72,1)</f>
        <v/>
      </c>
      <c r="D77" t="str">
        <f>SUBSTITUTE(Planilha4!A78,Planilha4!A79,Planilha4!A79,1)</f>
        <v/>
      </c>
      <c r="E77" t="str">
        <f>SUBSTITUTE(Planilha4!B78,Planilha4!B79,Planilha4!B79,1)</f>
        <v/>
      </c>
      <c r="F77" t="str">
        <f>SUBSTITUTE(Planilha4!C78,Planilha4!C79,Planilha4!C79,1)</f>
        <v/>
      </c>
      <c r="G77" t="str">
        <f>SUBSTITUTE(Planilha4!D78,Planilha4!D79,Planilha4!D79,1)</f>
        <v/>
      </c>
      <c r="H77" t="str">
        <f>SUBSTITUTE(Planilha4!E78,Planilha4!E79,Planilha4!E79,1)</f>
        <v/>
      </c>
      <c r="I77" t="str">
        <f>SUBSTITUTE(Planilha4!F78,Planilha4!F79,Planilha4!F79,1)</f>
        <v/>
      </c>
      <c r="J77" t="str">
        <f>SUBSTITUTE(Planilha4!G78,Planilha4!G79,Planilha4!G79,1)</f>
        <v/>
      </c>
      <c r="K77" t="str">
        <f>SUBSTITUTE(Planilha4!H78,Planilha4!H79,Planilha4!H79,1)</f>
        <v/>
      </c>
      <c r="L77" t="str">
        <f>SUBSTITUTE(Planilha4!I79,Planilha4!I79,Planilha4!I79,1)</f>
        <v/>
      </c>
      <c r="M77" t="str">
        <f>SUBSTITUTE(Planilha4!J79,Planilha4!J79,Planilha4!J79,1)</f>
        <v/>
      </c>
    </row>
    <row r="78" spans="1:13" x14ac:dyDescent="0.3">
      <c r="A78" t="str">
        <f>SUBSTITUTE(Planilha4!A73,Planilha4!A73,Planilha4!A73,1)</f>
        <v/>
      </c>
      <c r="B78" t="str">
        <f>SUBSTITUTE(Planilha4!B73,Planilha4!B73,Planilha4!B73,1)</f>
        <v/>
      </c>
      <c r="C78" t="str">
        <f>SUBSTITUTE(Planilha4!C73,Planilha4!C73,Planilha4!C73,1)</f>
        <v/>
      </c>
      <c r="D78" t="str">
        <f>SUBSTITUTE(Planilha4!A79,Planilha4!A80,Planilha4!A80,1)</f>
        <v/>
      </c>
      <c r="E78" t="str">
        <f>SUBSTITUTE(Planilha4!B79,Planilha4!B80,Planilha4!B80,1)</f>
        <v/>
      </c>
      <c r="F78" t="str">
        <f>SUBSTITUTE(Planilha4!C79,Planilha4!C80,Planilha4!C80,1)</f>
        <v/>
      </c>
      <c r="G78" t="str">
        <f>SUBSTITUTE(Planilha4!D79,Planilha4!D80,Planilha4!D80,1)</f>
        <v/>
      </c>
      <c r="H78" t="str">
        <f>SUBSTITUTE(Planilha4!E79,Planilha4!E80,Planilha4!E80,1)</f>
        <v/>
      </c>
      <c r="I78" t="str">
        <f>SUBSTITUTE(Planilha4!F79,Planilha4!F80,Planilha4!F80,1)</f>
        <v/>
      </c>
      <c r="J78" t="str">
        <f>SUBSTITUTE(Planilha4!G79,Planilha4!G80,Planilha4!G80,1)</f>
        <v/>
      </c>
      <c r="K78" t="str">
        <f>SUBSTITUTE(Planilha4!H79,Planilha4!H80,Planilha4!H80,1)</f>
        <v/>
      </c>
      <c r="L78" t="str">
        <f>SUBSTITUTE(Planilha4!I80,Planilha4!I80,Planilha4!I80,1)</f>
        <v/>
      </c>
      <c r="M78" t="str">
        <f>SUBSTITUTE(Planilha4!J80,Planilha4!J80,Planilha4!J80,1)</f>
        <v/>
      </c>
    </row>
    <row r="79" spans="1:13" x14ac:dyDescent="0.3">
      <c r="A79" t="str">
        <f>SUBSTITUTE(Planilha4!A74,Planilha4!A74,Planilha4!A74,1)</f>
        <v/>
      </c>
      <c r="B79" t="str">
        <f>SUBSTITUTE(Planilha4!B74,Planilha4!B74,Planilha4!B74,1)</f>
        <v/>
      </c>
      <c r="C79" t="str">
        <f>SUBSTITUTE(Planilha4!C74,Planilha4!C74,Planilha4!C74,1)</f>
        <v/>
      </c>
      <c r="D79" t="str">
        <f>SUBSTITUTE(Planilha4!A80,Planilha4!A81,Planilha4!A81,1)</f>
        <v/>
      </c>
      <c r="E79" t="str">
        <f>SUBSTITUTE(Planilha4!B80,Planilha4!B81,Planilha4!B81,1)</f>
        <v/>
      </c>
      <c r="F79" t="str">
        <f>SUBSTITUTE(Planilha4!C80,Planilha4!C81,Planilha4!C81,1)</f>
        <v/>
      </c>
      <c r="G79" t="str">
        <f>SUBSTITUTE(Planilha4!D80,Planilha4!D81,Planilha4!D81,1)</f>
        <v/>
      </c>
      <c r="H79" t="str">
        <f>SUBSTITUTE(Planilha4!E80,Planilha4!E81,Planilha4!E81,1)</f>
        <v/>
      </c>
      <c r="I79" t="str">
        <f>SUBSTITUTE(Planilha4!F80,Planilha4!F81,Planilha4!F81,1)</f>
        <v/>
      </c>
      <c r="J79" t="str">
        <f>SUBSTITUTE(Planilha4!G80,Planilha4!G81,Planilha4!G81,1)</f>
        <v/>
      </c>
      <c r="K79" t="str">
        <f>SUBSTITUTE(Planilha4!H80,Planilha4!H81,Planilha4!H81,1)</f>
        <v/>
      </c>
      <c r="L79" t="str">
        <f>SUBSTITUTE(Planilha4!I81,Planilha4!I81,Planilha4!I81,1)</f>
        <v/>
      </c>
      <c r="M79" t="str">
        <f>SUBSTITUTE(Planilha4!J81,Planilha4!J81,Planilha4!J81,1)</f>
        <v/>
      </c>
    </row>
    <row r="80" spans="1:13" x14ac:dyDescent="0.3">
      <c r="A80" t="str">
        <f>SUBSTITUTE(Planilha4!A75,Planilha4!A75,Planilha4!A75,1)</f>
        <v/>
      </c>
      <c r="B80" t="str">
        <f>SUBSTITUTE(Planilha4!B75,Planilha4!B75,Planilha4!B75,1)</f>
        <v/>
      </c>
      <c r="C80" t="str">
        <f>SUBSTITUTE(Planilha4!C75,Planilha4!C75,Planilha4!C75,1)</f>
        <v/>
      </c>
      <c r="D80" t="str">
        <f>SUBSTITUTE(Planilha4!A81,Planilha4!A82,Planilha4!A82,1)</f>
        <v/>
      </c>
      <c r="E80" t="str">
        <f>SUBSTITUTE(Planilha4!B81,Planilha4!B82,Planilha4!B82,1)</f>
        <v/>
      </c>
      <c r="F80" t="str">
        <f>SUBSTITUTE(Planilha4!C81,Planilha4!C82,Planilha4!C82,1)</f>
        <v/>
      </c>
      <c r="G80" t="str">
        <f>SUBSTITUTE(Planilha4!D81,Planilha4!D82,Planilha4!D82,1)</f>
        <v/>
      </c>
      <c r="H80" t="str">
        <f>SUBSTITUTE(Planilha4!E81,Planilha4!E82,Planilha4!E82,1)</f>
        <v/>
      </c>
      <c r="I80" t="str">
        <f>SUBSTITUTE(Planilha4!F81,Planilha4!F82,Planilha4!F82,1)</f>
        <v/>
      </c>
      <c r="J80" t="str">
        <f>SUBSTITUTE(Planilha4!G81,Planilha4!G82,Planilha4!G82,1)</f>
        <v/>
      </c>
      <c r="K80" t="str">
        <f>SUBSTITUTE(Planilha4!H81,Planilha4!H82,Planilha4!H82,1)</f>
        <v/>
      </c>
      <c r="L80" t="str">
        <f>SUBSTITUTE(Planilha4!I82,Planilha4!I82,Planilha4!I82,1)</f>
        <v/>
      </c>
      <c r="M80" t="str">
        <f>SUBSTITUTE(Planilha4!J82,Planilha4!J82,Planilha4!J82,1)</f>
        <v/>
      </c>
    </row>
    <row r="81" spans="1:13" x14ac:dyDescent="0.3">
      <c r="A81" t="str">
        <f>SUBSTITUTE(Planilha4!A76,Planilha4!A76,Planilha4!A76,1)</f>
        <v/>
      </c>
      <c r="B81" t="str">
        <f>SUBSTITUTE(Planilha4!B76,Planilha4!B76,Planilha4!B76,1)</f>
        <v/>
      </c>
      <c r="C81" t="str">
        <f>SUBSTITUTE(Planilha4!C76,Planilha4!C76,Planilha4!C76,1)</f>
        <v/>
      </c>
      <c r="D81" t="str">
        <f>SUBSTITUTE(Planilha4!A82,Planilha4!A83,Planilha4!A83,1)</f>
        <v/>
      </c>
      <c r="E81" t="str">
        <f>SUBSTITUTE(Planilha4!B82,Planilha4!B83,Planilha4!B83,1)</f>
        <v/>
      </c>
      <c r="F81" t="str">
        <f>SUBSTITUTE(Planilha4!C82,Planilha4!C83,Planilha4!C83,1)</f>
        <v/>
      </c>
      <c r="G81" t="str">
        <f>SUBSTITUTE(Planilha4!D82,Planilha4!D83,Planilha4!D83,1)</f>
        <v/>
      </c>
      <c r="H81" t="str">
        <f>SUBSTITUTE(Planilha4!E82,Planilha4!E83,Planilha4!E83,1)</f>
        <v/>
      </c>
      <c r="I81" t="str">
        <f>SUBSTITUTE(Planilha4!F82,Planilha4!F83,Planilha4!F83,1)</f>
        <v/>
      </c>
      <c r="J81" t="str">
        <f>SUBSTITUTE(Planilha4!G82,Planilha4!G83,Planilha4!G83,1)</f>
        <v/>
      </c>
      <c r="K81" t="str">
        <f>SUBSTITUTE(Planilha4!H82,Planilha4!H83,Planilha4!H83,1)</f>
        <v/>
      </c>
      <c r="L81" t="str">
        <f>SUBSTITUTE(Planilha4!I83,Planilha4!I83,Planilha4!I83,1)</f>
        <v/>
      </c>
      <c r="M81" t="str">
        <f>SUBSTITUTE(Planilha4!J83,Planilha4!J83,Planilha4!J83,1)</f>
        <v/>
      </c>
    </row>
    <row r="82" spans="1:13" x14ac:dyDescent="0.3">
      <c r="A82" t="str">
        <f>SUBSTITUTE(Planilha4!A77,Planilha4!A77,Planilha4!A77,1)</f>
        <v/>
      </c>
      <c r="B82" t="str">
        <f>SUBSTITUTE(Planilha4!B77,Planilha4!B77,Planilha4!B77,1)</f>
        <v/>
      </c>
      <c r="C82" t="str">
        <f>SUBSTITUTE(Planilha4!C77,Planilha4!C77,Planilha4!C77,1)</f>
        <v/>
      </c>
      <c r="D82" t="str">
        <f>SUBSTITUTE(Planilha4!A83,Planilha4!A84,Planilha4!A84,1)</f>
        <v/>
      </c>
      <c r="E82" t="str">
        <f>SUBSTITUTE(Planilha4!B83,Planilha4!B84,Planilha4!B84,1)</f>
        <v/>
      </c>
      <c r="F82" t="str">
        <f>SUBSTITUTE(Planilha4!C83,Planilha4!C84,Planilha4!C84,1)</f>
        <v/>
      </c>
      <c r="G82" t="str">
        <f>SUBSTITUTE(Planilha4!D83,Planilha4!D84,Planilha4!D84,1)</f>
        <v/>
      </c>
      <c r="H82" t="str">
        <f>SUBSTITUTE(Planilha4!E83,Planilha4!E84,Planilha4!E84,1)</f>
        <v/>
      </c>
      <c r="I82" t="str">
        <f>SUBSTITUTE(Planilha4!F83,Planilha4!F84,Planilha4!F84,1)</f>
        <v/>
      </c>
      <c r="J82" t="str">
        <f>SUBSTITUTE(Planilha4!G83,Planilha4!G84,Planilha4!G84,1)</f>
        <v/>
      </c>
      <c r="K82" t="str">
        <f>SUBSTITUTE(Planilha4!H83,Planilha4!H84,Planilha4!H84,1)</f>
        <v/>
      </c>
      <c r="L82" t="str">
        <f>SUBSTITUTE(Planilha4!I84,Planilha4!I84,Planilha4!I84,1)</f>
        <v/>
      </c>
      <c r="M82" t="str">
        <f>SUBSTITUTE(Planilha4!J84,Planilha4!J84,Planilha4!J84,1)</f>
        <v/>
      </c>
    </row>
    <row r="83" spans="1:13" x14ac:dyDescent="0.3">
      <c r="A83" t="str">
        <f>SUBSTITUTE(Planilha4!A78,Planilha4!A78,Planilha4!A78,1)</f>
        <v/>
      </c>
      <c r="B83" t="str">
        <f>SUBSTITUTE(Planilha4!B78,Planilha4!B78,Planilha4!B78,1)</f>
        <v/>
      </c>
      <c r="C83" t="str">
        <f>SUBSTITUTE(Planilha4!C78,Planilha4!C78,Planilha4!C78,1)</f>
        <v/>
      </c>
      <c r="D83" t="str">
        <f>SUBSTITUTE(Planilha4!A84,Planilha4!A85,Planilha4!A85,1)</f>
        <v/>
      </c>
      <c r="E83" t="str">
        <f>SUBSTITUTE(Planilha4!B84,Planilha4!B85,Planilha4!B85,1)</f>
        <v/>
      </c>
      <c r="F83" t="str">
        <f>SUBSTITUTE(Planilha4!C84,Planilha4!C85,Planilha4!C85,1)</f>
        <v/>
      </c>
      <c r="G83" t="str">
        <f>SUBSTITUTE(Planilha4!D84,Planilha4!D85,Planilha4!D85,1)</f>
        <v/>
      </c>
      <c r="H83" t="str">
        <f>SUBSTITUTE(Planilha4!E84,Planilha4!E85,Planilha4!E85,1)</f>
        <v/>
      </c>
      <c r="I83" t="str">
        <f>SUBSTITUTE(Planilha4!F84,Planilha4!F85,Planilha4!F85,1)</f>
        <v/>
      </c>
      <c r="J83" t="str">
        <f>SUBSTITUTE(Planilha4!G84,Planilha4!G85,Planilha4!G85,1)</f>
        <v/>
      </c>
      <c r="K83" t="str">
        <f>SUBSTITUTE(Planilha4!H84,Planilha4!H85,Planilha4!H85,1)</f>
        <v/>
      </c>
      <c r="L83" t="str">
        <f>SUBSTITUTE(Planilha4!I85,Planilha4!I85,Planilha4!I85,1)</f>
        <v/>
      </c>
      <c r="M83" t="str">
        <f>SUBSTITUTE(Planilha4!J85,Planilha4!J85,Planilha4!J85,1)</f>
        <v/>
      </c>
    </row>
    <row r="84" spans="1:13" x14ac:dyDescent="0.3">
      <c r="A84" t="str">
        <f>SUBSTITUTE(Planilha4!A79,Planilha4!A79,Planilha4!A79,1)</f>
        <v/>
      </c>
      <c r="B84" t="str">
        <f>SUBSTITUTE(Planilha4!B79,Planilha4!B79,Planilha4!B79,1)</f>
        <v/>
      </c>
      <c r="C84" t="str">
        <f>SUBSTITUTE(Planilha4!C79,Planilha4!C79,Planilha4!C79,1)</f>
        <v/>
      </c>
      <c r="D84" t="str">
        <f>SUBSTITUTE(Planilha4!A85,Planilha4!A86,Planilha4!A86,1)</f>
        <v/>
      </c>
      <c r="E84" t="str">
        <f>SUBSTITUTE(Planilha4!B85,Planilha4!B86,Planilha4!B86,1)</f>
        <v/>
      </c>
      <c r="F84" t="str">
        <f>SUBSTITUTE(Planilha4!C85,Planilha4!C86,Planilha4!C86,1)</f>
        <v/>
      </c>
      <c r="G84" t="str">
        <f>SUBSTITUTE(Planilha4!D85,Planilha4!D86,Planilha4!D86,1)</f>
        <v/>
      </c>
      <c r="H84" t="str">
        <f>SUBSTITUTE(Planilha4!E85,Planilha4!E86,Planilha4!E86,1)</f>
        <v/>
      </c>
      <c r="I84" t="str">
        <f>SUBSTITUTE(Planilha4!F85,Planilha4!F86,Planilha4!F86,1)</f>
        <v/>
      </c>
      <c r="J84" t="str">
        <f>SUBSTITUTE(Planilha4!G85,Planilha4!G86,Planilha4!G86,1)</f>
        <v/>
      </c>
      <c r="K84" t="str">
        <f>SUBSTITUTE(Planilha4!H85,Planilha4!H86,Planilha4!H86,1)</f>
        <v/>
      </c>
      <c r="L84" t="str">
        <f>SUBSTITUTE(Planilha4!I86,Planilha4!I86,Planilha4!I86,1)</f>
        <v/>
      </c>
      <c r="M84" t="str">
        <f>SUBSTITUTE(Planilha4!J86,Planilha4!J86,Planilha4!J86,1)</f>
        <v/>
      </c>
    </row>
    <row r="85" spans="1:13" x14ac:dyDescent="0.3">
      <c r="A85" t="str">
        <f>SUBSTITUTE(Planilha4!A80,Planilha4!A80,Planilha4!A80,1)</f>
        <v/>
      </c>
      <c r="B85" t="str">
        <f>SUBSTITUTE(Planilha4!B80,Planilha4!B80,Planilha4!B80,1)</f>
        <v/>
      </c>
      <c r="C85" t="str">
        <f>SUBSTITUTE(Planilha4!C80,Planilha4!C80,Planilha4!C80,1)</f>
        <v/>
      </c>
      <c r="D85" t="str">
        <f>SUBSTITUTE(Planilha4!A86,Planilha4!A87,Planilha4!A87,1)</f>
        <v/>
      </c>
      <c r="E85" t="str">
        <f>SUBSTITUTE(Planilha4!B86,Planilha4!B87,Planilha4!B87,1)</f>
        <v/>
      </c>
      <c r="F85" t="str">
        <f>SUBSTITUTE(Planilha4!C86,Planilha4!C87,Planilha4!C87,1)</f>
        <v/>
      </c>
      <c r="G85" t="str">
        <f>SUBSTITUTE(Planilha4!D86,Planilha4!D87,Planilha4!D87,1)</f>
        <v/>
      </c>
      <c r="H85" t="str">
        <f>SUBSTITUTE(Planilha4!E86,Planilha4!E87,Planilha4!E87,1)</f>
        <v/>
      </c>
      <c r="I85" t="str">
        <f>SUBSTITUTE(Planilha4!F86,Planilha4!F87,Planilha4!F87,1)</f>
        <v/>
      </c>
      <c r="J85" t="str">
        <f>SUBSTITUTE(Planilha4!G86,Planilha4!G87,Planilha4!G87,1)</f>
        <v/>
      </c>
      <c r="K85" t="str">
        <f>SUBSTITUTE(Planilha4!H86,Planilha4!H87,Planilha4!H87,1)</f>
        <v/>
      </c>
      <c r="L85" t="str">
        <f>SUBSTITUTE(Planilha4!I87,Planilha4!I87,Planilha4!I87,1)</f>
        <v/>
      </c>
      <c r="M85" t="str">
        <f>SUBSTITUTE(Planilha4!J87,Planilha4!J87,Planilha4!J87,1)</f>
        <v/>
      </c>
    </row>
    <row r="86" spans="1:13" x14ac:dyDescent="0.3">
      <c r="A86" t="str">
        <f>SUBSTITUTE(Planilha4!A81,Planilha4!A81,Planilha4!A81,1)</f>
        <v/>
      </c>
      <c r="B86" t="str">
        <f>SUBSTITUTE(Planilha4!B81,Planilha4!B81,Planilha4!B81,1)</f>
        <v/>
      </c>
      <c r="C86" t="str">
        <f>SUBSTITUTE(Planilha4!C81,Planilha4!C81,Planilha4!C81,1)</f>
        <v/>
      </c>
      <c r="D86" t="str">
        <f>SUBSTITUTE(Planilha4!A87,Planilha4!A88,Planilha4!A88,1)</f>
        <v/>
      </c>
      <c r="E86" t="str">
        <f>SUBSTITUTE(Planilha4!B87,Planilha4!B88,Planilha4!B88,1)</f>
        <v/>
      </c>
      <c r="F86" t="str">
        <f>SUBSTITUTE(Planilha4!C87,Planilha4!C88,Planilha4!C88,1)</f>
        <v/>
      </c>
      <c r="G86" t="str">
        <f>SUBSTITUTE(Planilha4!D87,Planilha4!D88,Planilha4!D88,1)</f>
        <v/>
      </c>
      <c r="H86" t="str">
        <f>SUBSTITUTE(Planilha4!E87,Planilha4!E88,Planilha4!E88,1)</f>
        <v/>
      </c>
      <c r="I86" t="str">
        <f>SUBSTITUTE(Planilha4!F87,Planilha4!F88,Planilha4!F88,1)</f>
        <v/>
      </c>
      <c r="J86" t="str">
        <f>SUBSTITUTE(Planilha4!G87,Planilha4!G88,Planilha4!G88,1)</f>
        <v/>
      </c>
      <c r="K86" t="str">
        <f>SUBSTITUTE(Planilha4!H87,Planilha4!H88,Planilha4!H88,1)</f>
        <v/>
      </c>
      <c r="L86" t="str">
        <f>SUBSTITUTE(Planilha4!I88,Planilha4!I88,Planilha4!I88,1)</f>
        <v/>
      </c>
      <c r="M86" t="str">
        <f>SUBSTITUTE(Planilha4!J88,Planilha4!J88,Planilha4!J88,1)</f>
        <v/>
      </c>
    </row>
    <row r="87" spans="1:13" x14ac:dyDescent="0.3">
      <c r="A87" t="str">
        <f>SUBSTITUTE(Planilha4!A82,Planilha4!A82,Planilha4!A82,1)</f>
        <v/>
      </c>
      <c r="B87" t="str">
        <f>SUBSTITUTE(Planilha4!B82,Planilha4!B82,Planilha4!B82,1)</f>
        <v/>
      </c>
      <c r="C87" t="str">
        <f>SUBSTITUTE(Planilha4!C82,Planilha4!C82,Planilha4!C82,1)</f>
        <v/>
      </c>
      <c r="D87" t="str">
        <f>SUBSTITUTE(Planilha4!A88,Planilha4!A89,Planilha4!A89,1)</f>
        <v/>
      </c>
      <c r="E87" t="str">
        <f>SUBSTITUTE(Planilha4!B88,Planilha4!B89,Planilha4!B89,1)</f>
        <v/>
      </c>
      <c r="F87" t="str">
        <f>SUBSTITUTE(Planilha4!C88,Planilha4!C89,Planilha4!C89,1)</f>
        <v/>
      </c>
      <c r="G87" t="str">
        <f>SUBSTITUTE(Planilha4!D88,Planilha4!D89,Planilha4!D89,1)</f>
        <v/>
      </c>
      <c r="H87" t="str">
        <f>SUBSTITUTE(Planilha4!E88,Planilha4!E89,Planilha4!E89,1)</f>
        <v/>
      </c>
      <c r="I87" t="str">
        <f>SUBSTITUTE(Planilha4!F88,Planilha4!F89,Planilha4!F89,1)</f>
        <v/>
      </c>
      <c r="J87" t="str">
        <f>SUBSTITUTE(Planilha4!G88,Planilha4!G89,Planilha4!G89,1)</f>
        <v/>
      </c>
      <c r="K87" t="str">
        <f>SUBSTITUTE(Planilha4!H88,Planilha4!H89,Planilha4!H89,1)</f>
        <v/>
      </c>
      <c r="L87" t="str">
        <f>SUBSTITUTE(Planilha4!I89,Planilha4!I89,Planilha4!I89,1)</f>
        <v/>
      </c>
      <c r="M87" t="str">
        <f>SUBSTITUTE(Planilha4!J89,Planilha4!J89,Planilha4!J89,1)</f>
        <v/>
      </c>
    </row>
    <row r="88" spans="1:13" x14ac:dyDescent="0.3">
      <c r="A88" t="str">
        <f>SUBSTITUTE(Planilha4!A83,Planilha4!A83,Planilha4!A83,1)</f>
        <v/>
      </c>
      <c r="B88" t="str">
        <f>SUBSTITUTE(Planilha4!B83,Planilha4!B83,Planilha4!B83,1)</f>
        <v/>
      </c>
      <c r="C88" t="str">
        <f>SUBSTITUTE(Planilha4!C83,Planilha4!C83,Planilha4!C83,1)</f>
        <v/>
      </c>
      <c r="D88" t="str">
        <f>SUBSTITUTE(Planilha4!A89,Planilha4!A90,Planilha4!A90,1)</f>
        <v/>
      </c>
      <c r="E88" t="str">
        <f>SUBSTITUTE(Planilha4!B89,Planilha4!B90,Planilha4!B90,1)</f>
        <v/>
      </c>
      <c r="F88" t="str">
        <f>SUBSTITUTE(Planilha4!C89,Planilha4!C90,Planilha4!C90,1)</f>
        <v/>
      </c>
      <c r="G88" t="str">
        <f>SUBSTITUTE(Planilha4!D89,Planilha4!D90,Planilha4!D90,1)</f>
        <v/>
      </c>
      <c r="H88" t="str">
        <f>SUBSTITUTE(Planilha4!E89,Planilha4!E90,Planilha4!E90,1)</f>
        <v/>
      </c>
      <c r="I88" t="str">
        <f>SUBSTITUTE(Planilha4!F89,Planilha4!F90,Planilha4!F90,1)</f>
        <v/>
      </c>
      <c r="J88" t="str">
        <f>SUBSTITUTE(Planilha4!G89,Planilha4!G90,Planilha4!G90,1)</f>
        <v/>
      </c>
      <c r="K88" t="str">
        <f>SUBSTITUTE(Planilha4!H89,Planilha4!H90,Planilha4!H90,1)</f>
        <v/>
      </c>
      <c r="L88" t="str">
        <f>SUBSTITUTE(Planilha4!I90,Planilha4!I90,Planilha4!I90,1)</f>
        <v/>
      </c>
      <c r="M88" t="str">
        <f>SUBSTITUTE(Planilha4!J90,Planilha4!J90,Planilha4!J90,1)</f>
        <v/>
      </c>
    </row>
    <row r="89" spans="1:13" x14ac:dyDescent="0.3">
      <c r="A89" t="str">
        <f>SUBSTITUTE(Planilha4!A84,Planilha4!A84,Planilha4!A84,1)</f>
        <v/>
      </c>
      <c r="B89" t="str">
        <f>SUBSTITUTE(Planilha4!B84,Planilha4!B84,Planilha4!B84,1)</f>
        <v/>
      </c>
      <c r="C89" t="str">
        <f>SUBSTITUTE(Planilha4!C84,Planilha4!C84,Planilha4!C84,1)</f>
        <v/>
      </c>
      <c r="D89" t="str">
        <f>SUBSTITUTE(Planilha4!A90,Planilha4!A91,Planilha4!A91,1)</f>
        <v/>
      </c>
      <c r="E89" t="str">
        <f>SUBSTITUTE(Planilha4!B90,Planilha4!B91,Planilha4!B91,1)</f>
        <v/>
      </c>
      <c r="F89" t="str">
        <f>SUBSTITUTE(Planilha4!C90,Planilha4!C91,Planilha4!C91,1)</f>
        <v/>
      </c>
      <c r="G89" t="str">
        <f>SUBSTITUTE(Planilha4!D90,Planilha4!D91,Planilha4!D91,1)</f>
        <v/>
      </c>
      <c r="H89" t="str">
        <f>SUBSTITUTE(Planilha4!E90,Planilha4!E91,Planilha4!E91,1)</f>
        <v/>
      </c>
      <c r="I89" t="str">
        <f>SUBSTITUTE(Planilha4!F90,Planilha4!F91,Planilha4!F91,1)</f>
        <v/>
      </c>
      <c r="J89" t="str">
        <f>SUBSTITUTE(Planilha4!G90,Planilha4!G91,Planilha4!G91,1)</f>
        <v/>
      </c>
      <c r="K89" t="str">
        <f>SUBSTITUTE(Planilha4!H90,Planilha4!H91,Planilha4!H91,1)</f>
        <v/>
      </c>
      <c r="L89" t="str">
        <f>SUBSTITUTE(Planilha4!I91,Planilha4!I91,Planilha4!I91,1)</f>
        <v/>
      </c>
      <c r="M89" t="str">
        <f>SUBSTITUTE(Planilha4!J91,Planilha4!J91,Planilha4!J91,1)</f>
        <v/>
      </c>
    </row>
    <row r="90" spans="1:13" x14ac:dyDescent="0.3">
      <c r="A90" t="str">
        <f>IFERROR(VLOOKUP("PENDENTE",Planilha4!B36:H37,2,FALSE),"")</f>
        <v/>
      </c>
      <c r="B90" t="str">
        <f>IFERROR(VLOOKUP("PENDENTE",Planilha4!B36:I37,3,FALSE),"")</f>
        <v/>
      </c>
      <c r="C90" t="str">
        <f>IFERROR(VLOOKUP("PENDENTE",Planilha4!B36:J37,4,FALSE),"")</f>
        <v/>
      </c>
      <c r="D90" t="str">
        <f>SUBSTITUTE(Planilha4!A91,Planilha4!A92,Planilha4!A92,1)</f>
        <v/>
      </c>
      <c r="E90" t="str">
        <f>SUBSTITUTE(Planilha4!B91,Planilha4!B92,Planilha4!B92,1)</f>
        <v/>
      </c>
      <c r="F90" t="str">
        <f>SUBSTITUTE(Planilha4!C91,Planilha4!C92,Planilha4!C92,1)</f>
        <v/>
      </c>
      <c r="G90" t="str">
        <f>SUBSTITUTE(Planilha4!D91,Planilha4!D92,Planilha4!D92,1)</f>
        <v/>
      </c>
      <c r="H90" t="str">
        <f>SUBSTITUTE(Planilha4!E91,Planilha4!E92,Planilha4!E92,1)</f>
        <v/>
      </c>
      <c r="I90" t="str">
        <f>SUBSTITUTE(Planilha4!F91,Planilha4!F92,Planilha4!F92,1)</f>
        <v/>
      </c>
      <c r="J90" t="str">
        <f>SUBSTITUTE(Planilha4!G91,Planilha4!G92,Planilha4!G92,1)</f>
        <v/>
      </c>
      <c r="K90" t="str">
        <f>SUBSTITUTE(Planilha4!H91,Planilha4!H92,Planilha4!H92,1)</f>
        <v/>
      </c>
      <c r="L90" t="str">
        <f>SUBSTITUTE(Planilha4!I92,Planilha4!I92,Planilha4!I92,1)</f>
        <v/>
      </c>
      <c r="M90" t="str">
        <f>SUBSTITUTE(Planilha4!J92,Planilha4!J92,Planilha4!J92,1)</f>
        <v/>
      </c>
    </row>
    <row r="91" spans="1:13" x14ac:dyDescent="0.3">
      <c r="A91" t="str">
        <f>IFERROR(VLOOKUP("PENDENTE",Planilha4!B37:H38,2,FALSE),"")</f>
        <v/>
      </c>
      <c r="B91" t="str">
        <f>IFERROR(VLOOKUP("PENDENTE",Planilha4!B37:I38,3,FALSE),"")</f>
        <v/>
      </c>
      <c r="C91" t="str">
        <f>IFERROR(VLOOKUP("PENDENTE",Planilha4!B37:J38,4,FALSE),"")</f>
        <v/>
      </c>
      <c r="D91" t="str">
        <f>SUBSTITUTE(Planilha4!A92,Planilha4!A93,Planilha4!A93,1)</f>
        <v/>
      </c>
      <c r="E91" t="str">
        <f>SUBSTITUTE(Planilha4!B92,Planilha4!B93,Planilha4!B93,1)</f>
        <v/>
      </c>
      <c r="F91" t="str">
        <f>SUBSTITUTE(Planilha4!C92,Planilha4!C93,Planilha4!C93,1)</f>
        <v/>
      </c>
      <c r="G91" t="str">
        <f>SUBSTITUTE(Planilha4!D92,Planilha4!D93,Planilha4!D93,1)</f>
        <v/>
      </c>
      <c r="H91" t="str">
        <f>SUBSTITUTE(Planilha4!E92,Planilha4!E93,Planilha4!E93,1)</f>
        <v/>
      </c>
      <c r="I91" t="str">
        <f>SUBSTITUTE(Planilha4!F92,Planilha4!F93,Planilha4!F93,1)</f>
        <v/>
      </c>
      <c r="J91" t="str">
        <f>SUBSTITUTE(Planilha4!G92,Planilha4!G93,Planilha4!G93,1)</f>
        <v/>
      </c>
      <c r="K91" t="str">
        <f>SUBSTITUTE(Planilha4!H92,Planilha4!H93,Planilha4!H93,1)</f>
        <v/>
      </c>
      <c r="L91" t="str">
        <f>SUBSTITUTE(Planilha4!I93,Planilha4!I93,Planilha4!I93,1)</f>
        <v/>
      </c>
      <c r="M91" t="str">
        <f>SUBSTITUTE(Planilha4!J93,Planilha4!J93,Planilha4!J93,1)</f>
        <v/>
      </c>
    </row>
    <row r="92" spans="1:13" x14ac:dyDescent="0.3">
      <c r="A92" t="str">
        <f>IFERROR(VLOOKUP("PENDENTE",Planilha4!B38:H39,2,FALSE),"")</f>
        <v/>
      </c>
      <c r="B92" t="str">
        <f>IFERROR(VLOOKUP("PENDENTE",Planilha4!B38:I39,3,FALSE),"")</f>
        <v/>
      </c>
      <c r="C92" t="str">
        <f>IFERROR(VLOOKUP("PENDENTE",Planilha4!B38:J39,4,FALSE),"")</f>
        <v/>
      </c>
      <c r="D92" t="str">
        <f>SUBSTITUTE(Planilha4!A93,Planilha4!A94,Planilha4!A94,1)</f>
        <v/>
      </c>
      <c r="E92" t="str">
        <f>SUBSTITUTE(Planilha4!B93,Planilha4!B94,Planilha4!B94,1)</f>
        <v/>
      </c>
      <c r="F92" t="str">
        <f>SUBSTITUTE(Planilha4!C93,Planilha4!C94,Planilha4!C94,1)</f>
        <v/>
      </c>
      <c r="G92" t="str">
        <f>SUBSTITUTE(Planilha4!D93,Planilha4!D94,Planilha4!D94,1)</f>
        <v/>
      </c>
      <c r="H92" t="str">
        <f>SUBSTITUTE(Planilha4!E93,Planilha4!E94,Planilha4!E94,1)</f>
        <v/>
      </c>
      <c r="I92" t="str">
        <f>SUBSTITUTE(Planilha4!F93,Planilha4!F94,Planilha4!F94,1)</f>
        <v/>
      </c>
      <c r="J92" t="str">
        <f>SUBSTITUTE(Planilha4!G93,Planilha4!G94,Planilha4!G94,1)</f>
        <v/>
      </c>
      <c r="K92" t="str">
        <f>SUBSTITUTE(Planilha4!H93,Planilha4!H94,Planilha4!H94,1)</f>
        <v/>
      </c>
      <c r="L92" t="str">
        <f>SUBSTITUTE(Planilha4!I94,Planilha4!I94,Planilha4!I94,1)</f>
        <v/>
      </c>
      <c r="M92" t="str">
        <f>SUBSTITUTE(Planilha4!J94,Planilha4!J94,Planilha4!J94,1)</f>
        <v/>
      </c>
    </row>
    <row r="93" spans="1:13" x14ac:dyDescent="0.3">
      <c r="A93" t="str">
        <f>IFERROR(VLOOKUP("PENDENTE",Planilha4!B39:H40,2,FALSE),"")</f>
        <v/>
      </c>
      <c r="B93" t="str">
        <f>IFERROR(VLOOKUP("PENDENTE",Planilha4!B39:I40,3,FALSE),"")</f>
        <v/>
      </c>
      <c r="C93" t="str">
        <f>IFERROR(VLOOKUP("PENDENTE",Planilha4!B39:J40,4,FALSE),"")</f>
        <v/>
      </c>
      <c r="D93" t="str">
        <f>SUBSTITUTE(Planilha4!A94,Planilha4!A95,Planilha4!A95,1)</f>
        <v/>
      </c>
      <c r="E93" t="str">
        <f>SUBSTITUTE(Planilha4!B94,Planilha4!B95,Planilha4!B95,1)</f>
        <v/>
      </c>
      <c r="F93" t="str">
        <f>SUBSTITUTE(Planilha4!C94,Planilha4!C95,Planilha4!C95,1)</f>
        <v/>
      </c>
      <c r="G93" t="str">
        <f>SUBSTITUTE(Planilha4!D94,Planilha4!D95,Planilha4!D95,1)</f>
        <v/>
      </c>
      <c r="H93" t="str">
        <f>SUBSTITUTE(Planilha4!E94,Planilha4!E95,Planilha4!E95,1)</f>
        <v/>
      </c>
      <c r="I93" t="str">
        <f>SUBSTITUTE(Planilha4!F94,Planilha4!F95,Planilha4!F95,1)</f>
        <v/>
      </c>
      <c r="J93" t="str">
        <f>SUBSTITUTE(Planilha4!G94,Planilha4!G95,Planilha4!G95,1)</f>
        <v/>
      </c>
      <c r="K93" t="str">
        <f>SUBSTITUTE(Planilha4!H94,Planilha4!H95,Planilha4!H95,1)</f>
        <v/>
      </c>
      <c r="L93" t="str">
        <f>SUBSTITUTE(Planilha4!I95,Planilha4!I95,Planilha4!I95,1)</f>
        <v/>
      </c>
      <c r="M93" t="str">
        <f>SUBSTITUTE(Planilha4!J95,Planilha4!J95,Planilha4!J95,1)</f>
        <v/>
      </c>
    </row>
    <row r="94" spans="1:13" x14ac:dyDescent="0.3">
      <c r="A94" t="str">
        <f>IFERROR(VLOOKUP("PENDENTE",Planilha4!B40:H41,2,FALSE),"")</f>
        <v/>
      </c>
      <c r="B94" t="str">
        <f>IFERROR(VLOOKUP("PENDENTE",Planilha4!B40:I41,3,FALSE),"")</f>
        <v/>
      </c>
      <c r="C94" t="str">
        <f>IFERROR(VLOOKUP("PENDENTE",Planilha4!B40:J41,4,FALSE),"")</f>
        <v/>
      </c>
      <c r="D94" t="str">
        <f>SUBSTITUTE(Planilha4!A95,Planilha4!A96,Planilha4!A96,1)</f>
        <v/>
      </c>
      <c r="E94" t="str">
        <f>SUBSTITUTE(Planilha4!B95,Planilha4!B96,Planilha4!B96,1)</f>
        <v/>
      </c>
      <c r="F94" t="str">
        <f>SUBSTITUTE(Planilha4!C95,Planilha4!C96,Planilha4!C96,1)</f>
        <v/>
      </c>
      <c r="G94" t="str">
        <f>SUBSTITUTE(Planilha4!D95,Planilha4!D96,Planilha4!D96,1)</f>
        <v/>
      </c>
      <c r="H94" t="str">
        <f>SUBSTITUTE(Planilha4!E95,Planilha4!E96,Planilha4!E96,1)</f>
        <v/>
      </c>
      <c r="I94" t="str">
        <f>SUBSTITUTE(Planilha4!F95,Planilha4!F96,Planilha4!F96,1)</f>
        <v/>
      </c>
      <c r="J94" t="str">
        <f>SUBSTITUTE(Planilha4!G95,Planilha4!G96,Planilha4!G96,1)</f>
        <v/>
      </c>
      <c r="K94" t="str">
        <f>SUBSTITUTE(Planilha4!H95,Planilha4!H96,Planilha4!H96,1)</f>
        <v/>
      </c>
      <c r="L94" t="str">
        <f>SUBSTITUTE(Planilha4!I96,Planilha4!I96,Planilha4!I96,1)</f>
        <v/>
      </c>
      <c r="M94" t="str">
        <f>SUBSTITUTE(Planilha4!J96,Planilha4!J96,Planilha4!J96,1)</f>
        <v/>
      </c>
    </row>
    <row r="95" spans="1:13" x14ac:dyDescent="0.3">
      <c r="A95" t="str">
        <f>IFERROR(VLOOKUP("PENDENTE",Planilha4!B41:H42,2,FALSE),"")</f>
        <v/>
      </c>
      <c r="B95" t="str">
        <f>IFERROR(VLOOKUP("PENDENTE",Planilha4!B41:I42,3,FALSE),"")</f>
        <v/>
      </c>
      <c r="C95" t="str">
        <f>IFERROR(VLOOKUP("PENDENTE",Planilha4!B41:J42,4,FALSE),"")</f>
        <v/>
      </c>
      <c r="D95" t="str">
        <f>SUBSTITUTE(Planilha4!A96,Planilha4!A97,Planilha4!A97,1)</f>
        <v/>
      </c>
      <c r="E95" t="str">
        <f>SUBSTITUTE(Planilha4!B96,Planilha4!B97,Planilha4!B97,1)</f>
        <v/>
      </c>
      <c r="F95" t="str">
        <f>SUBSTITUTE(Planilha4!C96,Planilha4!C97,Planilha4!C97,1)</f>
        <v/>
      </c>
      <c r="G95" t="str">
        <f>SUBSTITUTE(Planilha4!D96,Planilha4!D97,Planilha4!D97,1)</f>
        <v/>
      </c>
      <c r="H95" t="str">
        <f>SUBSTITUTE(Planilha4!E96,Planilha4!E97,Planilha4!E97,1)</f>
        <v/>
      </c>
      <c r="I95" t="str">
        <f>SUBSTITUTE(Planilha4!F96,Planilha4!F97,Planilha4!F97,1)</f>
        <v/>
      </c>
      <c r="J95" t="str">
        <f>SUBSTITUTE(Planilha4!G96,Planilha4!G97,Planilha4!G97,1)</f>
        <v/>
      </c>
      <c r="K95" t="str">
        <f>SUBSTITUTE(Planilha4!H96,Planilha4!H97,Planilha4!H97,1)</f>
        <v/>
      </c>
      <c r="L95" t="str">
        <f>SUBSTITUTE(Planilha4!I97,Planilha4!I97,Planilha4!I97,1)</f>
        <v/>
      </c>
      <c r="M95" t="str">
        <f>SUBSTITUTE(Planilha4!J97,Planilha4!J97,Planilha4!J97,1)</f>
        <v/>
      </c>
    </row>
    <row r="96" spans="1:13" x14ac:dyDescent="0.3">
      <c r="A96" t="str">
        <f>IFERROR(VLOOKUP("PENDENTE",Planilha4!B42:H43,2,FALSE),"")</f>
        <v/>
      </c>
      <c r="B96" t="str">
        <f>IFERROR(VLOOKUP("PENDENTE",Planilha4!B42:I43,3,FALSE),"")</f>
        <v/>
      </c>
      <c r="C96" t="str">
        <f>IFERROR(VLOOKUP("PENDENTE",Planilha4!B42:J43,4,FALSE),"")</f>
        <v/>
      </c>
      <c r="D96" t="str">
        <f>SUBSTITUTE(Planilha4!A97,Planilha4!A98,Planilha4!A98,1)</f>
        <v/>
      </c>
      <c r="E96" t="str">
        <f>SUBSTITUTE(Planilha4!B97,Planilha4!B98,Planilha4!B98,1)</f>
        <v/>
      </c>
      <c r="F96" t="str">
        <f>SUBSTITUTE(Planilha4!C97,Planilha4!C98,Planilha4!C98,1)</f>
        <v/>
      </c>
      <c r="G96" t="str">
        <f>SUBSTITUTE(Planilha4!D97,Planilha4!D98,Planilha4!D98,1)</f>
        <v/>
      </c>
      <c r="H96" t="str">
        <f>SUBSTITUTE(Planilha4!E97,Planilha4!E98,Planilha4!E98,1)</f>
        <v/>
      </c>
      <c r="I96" t="str">
        <f>SUBSTITUTE(Planilha4!F97,Planilha4!F98,Planilha4!F98,1)</f>
        <v/>
      </c>
      <c r="J96" t="str">
        <f>SUBSTITUTE(Planilha4!G97,Planilha4!G98,Planilha4!G98,1)</f>
        <v/>
      </c>
      <c r="K96" t="str">
        <f>SUBSTITUTE(Planilha4!H97,Planilha4!H98,Planilha4!H98,1)</f>
        <v/>
      </c>
      <c r="L96" t="str">
        <f>SUBSTITUTE(Planilha4!I98,Planilha4!I98,Planilha4!I98,1)</f>
        <v/>
      </c>
      <c r="M96" t="str">
        <f>SUBSTITUTE(Planilha4!J98,Planilha4!J98,Planilha4!J98,1)</f>
        <v/>
      </c>
    </row>
    <row r="97" spans="1:13" x14ac:dyDescent="0.3">
      <c r="A97" t="str">
        <f>IFERROR(VLOOKUP("PENDENTE",Planilha4!B43:H44,2,FALSE),"")</f>
        <v/>
      </c>
      <c r="B97" t="str">
        <f>IFERROR(VLOOKUP("PENDENTE",Planilha4!B43:I44,3,FALSE),"")</f>
        <v/>
      </c>
      <c r="C97" t="str">
        <f>IFERROR(VLOOKUP("PENDENTE",Planilha4!B43:J44,4,FALSE),"")</f>
        <v/>
      </c>
      <c r="D97" t="str">
        <f>SUBSTITUTE(Planilha4!A98,Planilha4!A99,Planilha4!A99,1)</f>
        <v/>
      </c>
      <c r="E97" t="str">
        <f>SUBSTITUTE(Planilha4!B98,Planilha4!B99,Planilha4!B99,1)</f>
        <v/>
      </c>
      <c r="F97" t="str">
        <f>SUBSTITUTE(Planilha4!C98,Planilha4!C99,Planilha4!C99,1)</f>
        <v/>
      </c>
      <c r="G97" t="str">
        <f>SUBSTITUTE(Planilha4!D98,Planilha4!D99,Planilha4!D99,1)</f>
        <v/>
      </c>
      <c r="H97" t="str">
        <f>SUBSTITUTE(Planilha4!E98,Planilha4!E99,Planilha4!E99,1)</f>
        <v/>
      </c>
      <c r="I97" t="str">
        <f>SUBSTITUTE(Planilha4!F98,Planilha4!F99,Planilha4!F99,1)</f>
        <v/>
      </c>
      <c r="J97" t="str">
        <f>SUBSTITUTE(Planilha4!G98,Planilha4!G99,Planilha4!G99,1)</f>
        <v/>
      </c>
      <c r="K97" t="str">
        <f>SUBSTITUTE(Planilha4!H98,Planilha4!H99,Planilha4!H99,1)</f>
        <v/>
      </c>
      <c r="L97" t="str">
        <f>SUBSTITUTE(Planilha4!I99,Planilha4!I99,Planilha4!I99,1)</f>
        <v/>
      </c>
      <c r="M97" t="str">
        <f>SUBSTITUTE(Planilha4!J99,Planilha4!J99,Planilha4!J99,1)</f>
        <v/>
      </c>
    </row>
    <row r="98" spans="1:13" x14ac:dyDescent="0.3">
      <c r="A98" t="str">
        <f>IFERROR(VLOOKUP("PENDENTE",Planilha4!B44:H45,2,FALSE),"")</f>
        <v/>
      </c>
      <c r="B98" t="str">
        <f>IFERROR(VLOOKUP("PENDENTE",Planilha4!B44:I45,3,FALSE),"")</f>
        <v/>
      </c>
      <c r="C98" t="str">
        <f>IFERROR(VLOOKUP("PENDENTE",Planilha4!B44:J45,4,FALSE),"")</f>
        <v/>
      </c>
      <c r="D98" t="str">
        <f>SUBSTITUTE(Planilha4!A99,Planilha4!A100,Planilha4!A100,1)</f>
        <v/>
      </c>
      <c r="E98" t="str">
        <f>SUBSTITUTE(Planilha4!B99,Planilha4!B100,Planilha4!B100,1)</f>
        <v/>
      </c>
      <c r="F98" t="str">
        <f>SUBSTITUTE(Planilha4!C99,Planilha4!C100,Planilha4!C100,1)</f>
        <v/>
      </c>
      <c r="G98" t="str">
        <f>SUBSTITUTE(Planilha4!D99,Planilha4!D100,Planilha4!D100,1)</f>
        <v/>
      </c>
      <c r="H98" t="str">
        <f>SUBSTITUTE(Planilha4!E99,Planilha4!E100,Planilha4!E100,1)</f>
        <v/>
      </c>
      <c r="I98" t="str">
        <f>SUBSTITUTE(Planilha4!F99,Planilha4!F100,Planilha4!F100,1)</f>
        <v/>
      </c>
      <c r="J98" t="str">
        <f>SUBSTITUTE(Planilha4!G99,Planilha4!G100,Planilha4!G100,1)</f>
        <v/>
      </c>
      <c r="K98" t="str">
        <f>SUBSTITUTE(Planilha4!H99,Planilha4!H100,Planilha4!H100,1)</f>
        <v/>
      </c>
      <c r="L98" t="str">
        <f>SUBSTITUTE(Planilha4!I100,Planilha4!I100,Planilha4!I100,1)</f>
        <v/>
      </c>
      <c r="M98" t="str">
        <f>SUBSTITUTE(Planilha4!J100,Planilha4!J100,Planilha4!J100,1)</f>
        <v/>
      </c>
    </row>
    <row r="99" spans="1:13" x14ac:dyDescent="0.3">
      <c r="D99" t="str">
        <f>SUBSTITUTE(Planilha4!A100,Planilha4!A101,Planilha4!A101,1)</f>
        <v/>
      </c>
      <c r="E99" t="str">
        <f>SUBSTITUTE(Planilha4!B100,Planilha4!B101,Planilha4!B101,1)</f>
        <v/>
      </c>
      <c r="F99" t="str">
        <f>SUBSTITUTE(Planilha4!C100,Planilha4!C101,Planilha4!C101,1)</f>
        <v/>
      </c>
      <c r="G99" t="str">
        <f>SUBSTITUTE(Planilha4!D100,Planilha4!D101,Planilha4!D101,1)</f>
        <v/>
      </c>
      <c r="H99" t="str">
        <f>SUBSTITUTE(Planilha4!E100,Planilha4!E101,Planilha4!E101,1)</f>
        <v/>
      </c>
      <c r="I99" t="str">
        <f>SUBSTITUTE(Planilha4!F100,Planilha4!F101,Planilha4!F101,1)</f>
        <v/>
      </c>
      <c r="J99" t="str">
        <f>SUBSTITUTE(Planilha4!G100,Planilha4!G101,Planilha4!G101,1)</f>
        <v/>
      </c>
      <c r="K99" t="str">
        <f>SUBSTITUTE(Planilha4!H100,Planilha4!H101,Planilha4!H101,1)</f>
        <v/>
      </c>
      <c r="L99" t="str">
        <f>SUBSTITUTE(Planilha4!I101,Planilha4!I101,Planilha4!I101,1)</f>
        <v/>
      </c>
      <c r="M99" t="str">
        <f>SUBSTITUTE(Planilha4!J101,Planilha4!J101,Planilha4!J101,1)</f>
        <v/>
      </c>
    </row>
    <row r="100" spans="1:13" x14ac:dyDescent="0.3">
      <c r="D100" t="str">
        <f>SUBSTITUTE(Planilha4!A101,Planilha4!A102,Planilha4!A102,1)</f>
        <v/>
      </c>
      <c r="E100" t="str">
        <f>SUBSTITUTE(Planilha4!B101,Planilha4!B102,Planilha4!B102,1)</f>
        <v/>
      </c>
      <c r="F100" t="str">
        <f>SUBSTITUTE(Planilha4!C101,Planilha4!C102,Planilha4!C102,1)</f>
        <v/>
      </c>
      <c r="G100" t="str">
        <f>SUBSTITUTE(Planilha4!D101,Planilha4!D102,Planilha4!D102,1)</f>
        <v/>
      </c>
      <c r="H100" t="str">
        <f>SUBSTITUTE(Planilha4!E101,Planilha4!E102,Planilha4!E102,1)</f>
        <v/>
      </c>
      <c r="I100" t="str">
        <f>SUBSTITUTE(Planilha4!F101,Planilha4!F102,Planilha4!F102,1)</f>
        <v/>
      </c>
      <c r="J100" t="str">
        <f>SUBSTITUTE(Planilha4!G101,Planilha4!G102,Planilha4!G102,1)</f>
        <v/>
      </c>
      <c r="K100" t="str">
        <f>SUBSTITUTE(Planilha4!H101,Planilha4!H102,Planilha4!H102,1)</f>
        <v/>
      </c>
      <c r="L100" t="str">
        <f>SUBSTITUTE(Planilha4!I102,Planilha4!I102,Planilha4!I102,1)</f>
        <v/>
      </c>
      <c r="M100" t="str">
        <f>SUBSTITUTE(Planilha4!J102,Planilha4!J102,Planilha4!J102,1)</f>
        <v/>
      </c>
    </row>
    <row r="101" spans="1:13" x14ac:dyDescent="0.3">
      <c r="D101" t="str">
        <f>SUBSTITUTE(Planilha4!A102,Planilha4!A103,Planilha4!A103,1)</f>
        <v/>
      </c>
      <c r="E101" t="str">
        <f>SUBSTITUTE(Planilha4!B102,Planilha4!B103,Planilha4!B103,1)</f>
        <v/>
      </c>
      <c r="F101" t="str">
        <f>SUBSTITUTE(Planilha4!C102,Planilha4!C103,Planilha4!C103,1)</f>
        <v/>
      </c>
      <c r="G101" t="str">
        <f>SUBSTITUTE(Planilha4!D102,Planilha4!D103,Planilha4!D103,1)</f>
        <v/>
      </c>
      <c r="H101" t="str">
        <f>SUBSTITUTE(Planilha4!E102,Planilha4!E103,Planilha4!E103,1)</f>
        <v/>
      </c>
      <c r="I101" t="str">
        <f>SUBSTITUTE(Planilha4!F102,Planilha4!F103,Planilha4!F103,1)</f>
        <v/>
      </c>
      <c r="J101" t="str">
        <f>SUBSTITUTE(Planilha4!G102,Planilha4!G103,Planilha4!G103,1)</f>
        <v/>
      </c>
      <c r="K101" t="str">
        <f>SUBSTITUTE(Planilha4!H102,Planilha4!H103,Planilha4!H103,1)</f>
        <v/>
      </c>
      <c r="L101" t="str">
        <f>SUBSTITUTE(Planilha4!I103,Planilha4!I103,Planilha4!I103,1)</f>
        <v/>
      </c>
      <c r="M101" t="str">
        <f>SUBSTITUTE(Planilha4!J103,Planilha4!J103,Planilha4!J103,1)</f>
        <v/>
      </c>
    </row>
    <row r="102" spans="1:13" x14ac:dyDescent="0.3">
      <c r="D102" t="str">
        <f>SUBSTITUTE(Planilha4!A103,Planilha4!A104,Planilha4!A104,1)</f>
        <v/>
      </c>
      <c r="E102" t="str">
        <f>SUBSTITUTE(Planilha4!B103,Planilha4!B104,Planilha4!B104,1)</f>
        <v/>
      </c>
      <c r="F102" t="str">
        <f>SUBSTITUTE(Planilha4!C103,Planilha4!C104,Planilha4!C104,1)</f>
        <v/>
      </c>
      <c r="G102" t="str">
        <f>SUBSTITUTE(Planilha4!D103,Planilha4!D104,Planilha4!D104,1)</f>
        <v/>
      </c>
      <c r="H102" t="str">
        <f>SUBSTITUTE(Planilha4!E103,Planilha4!E104,Planilha4!E104,1)</f>
        <v/>
      </c>
      <c r="I102" t="str">
        <f>SUBSTITUTE(Planilha4!F103,Planilha4!F104,Planilha4!F104,1)</f>
        <v/>
      </c>
      <c r="J102" t="str">
        <f>SUBSTITUTE(Planilha4!G103,Planilha4!G104,Planilha4!G104,1)</f>
        <v/>
      </c>
      <c r="K102" t="str">
        <f>SUBSTITUTE(Planilha4!H103,Planilha4!H104,Planilha4!H104,1)</f>
        <v/>
      </c>
      <c r="L102" t="str">
        <f>SUBSTITUTE(Planilha4!I104,Planilha4!I104,Planilha4!I104,1)</f>
        <v/>
      </c>
      <c r="M102" t="str">
        <f>SUBSTITUTE(Planilha4!J104,Planilha4!J104,Planilha4!J104,1)</f>
        <v/>
      </c>
    </row>
    <row r="103" spans="1:13" x14ac:dyDescent="0.3">
      <c r="D103" t="str">
        <f>SUBSTITUTE(Planilha4!A104,Planilha4!A105,Planilha4!A105,1)</f>
        <v/>
      </c>
      <c r="E103" t="str">
        <f>SUBSTITUTE(Planilha4!B104,Planilha4!B105,Planilha4!B105,1)</f>
        <v/>
      </c>
      <c r="F103" t="str">
        <f>SUBSTITUTE(Planilha4!C104,Planilha4!C105,Planilha4!C105,1)</f>
        <v/>
      </c>
      <c r="G103" t="str">
        <f>SUBSTITUTE(Planilha4!D104,Planilha4!D105,Planilha4!D105,1)</f>
        <v/>
      </c>
      <c r="H103" t="str">
        <f>SUBSTITUTE(Planilha4!E104,Planilha4!E105,Planilha4!E105,1)</f>
        <v/>
      </c>
      <c r="I103" t="str">
        <f>SUBSTITUTE(Planilha4!F104,Planilha4!F105,Planilha4!F105,1)</f>
        <v/>
      </c>
      <c r="J103" t="str">
        <f>SUBSTITUTE(Planilha4!G104,Planilha4!G105,Planilha4!G105,1)</f>
        <v/>
      </c>
      <c r="K103" t="str">
        <f>SUBSTITUTE(Planilha4!H104,Planilha4!H105,Planilha4!H105,1)</f>
        <v/>
      </c>
      <c r="L103" t="str">
        <f>SUBSTITUTE(Planilha4!I105,Planilha4!I105,Planilha4!I105,1)</f>
        <v/>
      </c>
      <c r="M103" t="str">
        <f>SUBSTITUTE(Planilha4!J105,Planilha4!J105,Planilha4!J105,1)</f>
        <v/>
      </c>
    </row>
    <row r="104" spans="1:13" x14ac:dyDescent="0.3">
      <c r="D104" t="str">
        <f>SUBSTITUTE(Planilha4!A105,Planilha4!A106,Planilha4!A106,1)</f>
        <v/>
      </c>
      <c r="E104" t="str">
        <f>SUBSTITUTE(Planilha4!B105,Planilha4!B106,Planilha4!B106,1)</f>
        <v/>
      </c>
      <c r="F104" t="str">
        <f>SUBSTITUTE(Planilha4!C105,Planilha4!C106,Planilha4!C106,1)</f>
        <v/>
      </c>
      <c r="G104" t="str">
        <f>SUBSTITUTE(Planilha4!D105,Planilha4!D106,Planilha4!D106,1)</f>
        <v/>
      </c>
      <c r="H104" t="str">
        <f>SUBSTITUTE(Planilha4!E105,Planilha4!E106,Planilha4!E106,1)</f>
        <v/>
      </c>
      <c r="I104" t="str">
        <f>SUBSTITUTE(Planilha4!F105,Planilha4!F106,Planilha4!F106,1)</f>
        <v/>
      </c>
      <c r="J104" t="str">
        <f>SUBSTITUTE(Planilha4!G105,Planilha4!G106,Planilha4!G106,1)</f>
        <v/>
      </c>
      <c r="K104" t="str">
        <f>SUBSTITUTE(Planilha4!H105,Planilha4!H106,Planilha4!H106,1)</f>
        <v/>
      </c>
      <c r="L104" t="str">
        <f>SUBSTITUTE(Planilha4!I106,Planilha4!I106,Planilha4!I106,1)</f>
        <v/>
      </c>
      <c r="M104" t="str">
        <f>SUBSTITUTE(Planilha4!J106,Planilha4!J106,Planilha4!J106,1)</f>
        <v/>
      </c>
    </row>
    <row r="105" spans="1:13" x14ac:dyDescent="0.3">
      <c r="D105" t="str">
        <f>SUBSTITUTE(Planilha4!A106,Planilha4!A107,Planilha4!A107,1)</f>
        <v/>
      </c>
      <c r="E105" t="str">
        <f>SUBSTITUTE(Planilha4!B106,Planilha4!B107,Planilha4!B107,1)</f>
        <v/>
      </c>
      <c r="F105" t="str">
        <f>SUBSTITUTE(Planilha4!C106,Planilha4!C107,Planilha4!C107,1)</f>
        <v/>
      </c>
      <c r="G105" t="str">
        <f>SUBSTITUTE(Planilha4!D106,Planilha4!D107,Planilha4!D107,1)</f>
        <v/>
      </c>
      <c r="H105" t="str">
        <f>SUBSTITUTE(Planilha4!E106,Planilha4!E107,Planilha4!E107,1)</f>
        <v/>
      </c>
      <c r="I105" t="str">
        <f>SUBSTITUTE(Planilha4!F106,Planilha4!F107,Planilha4!F107,1)</f>
        <v/>
      </c>
      <c r="J105" t="str">
        <f>SUBSTITUTE(Planilha4!G106,Planilha4!G107,Planilha4!G107,1)</f>
        <v/>
      </c>
      <c r="K105" t="str">
        <f>SUBSTITUTE(Planilha4!H106,Planilha4!H107,Planilha4!H107,1)</f>
        <v/>
      </c>
      <c r="L105" t="str">
        <f>SUBSTITUTE(Planilha4!I107,Planilha4!I107,Planilha4!I107,1)</f>
        <v/>
      </c>
      <c r="M105" t="str">
        <f>SUBSTITUTE(Planilha4!J107,Planilha4!J107,Planilha4!J107,1)</f>
        <v/>
      </c>
    </row>
    <row r="106" spans="1:13" x14ac:dyDescent="0.3">
      <c r="D106" t="str">
        <f>SUBSTITUTE(Planilha4!A107,Planilha4!A108,Planilha4!A108,1)</f>
        <v/>
      </c>
      <c r="E106" t="str">
        <f>SUBSTITUTE(Planilha4!B107,Planilha4!B108,Planilha4!B108,1)</f>
        <v/>
      </c>
      <c r="F106" t="str">
        <f>SUBSTITUTE(Planilha4!C107,Planilha4!C108,Planilha4!C108,1)</f>
        <v/>
      </c>
      <c r="G106" t="str">
        <f>SUBSTITUTE(Planilha4!D107,Planilha4!D108,Planilha4!D108,1)</f>
        <v/>
      </c>
      <c r="H106" t="str">
        <f>SUBSTITUTE(Planilha4!E107,Planilha4!E108,Planilha4!E108,1)</f>
        <v/>
      </c>
      <c r="I106" t="str">
        <f>SUBSTITUTE(Planilha4!F107,Planilha4!F108,Planilha4!F108,1)</f>
        <v/>
      </c>
      <c r="J106" t="str">
        <f>SUBSTITUTE(Planilha4!G107,Planilha4!G108,Planilha4!G108,1)</f>
        <v/>
      </c>
      <c r="K106" t="str">
        <f>SUBSTITUTE(Planilha4!H107,Planilha4!H108,Planilha4!H108,1)</f>
        <v/>
      </c>
      <c r="L106" t="str">
        <f>SUBSTITUTE(Planilha4!I108,Planilha4!I108,Planilha4!I108,1)</f>
        <v/>
      </c>
      <c r="M106" t="str">
        <f>SUBSTITUTE(Planilha4!J108,Planilha4!J108,Planilha4!J108,1)</f>
        <v/>
      </c>
    </row>
    <row r="107" spans="1:13" x14ac:dyDescent="0.3">
      <c r="D107" t="str">
        <f>SUBSTITUTE(Planilha4!A108,Planilha4!A109,Planilha4!A109,1)</f>
        <v/>
      </c>
      <c r="E107" t="str">
        <f>SUBSTITUTE(Planilha4!B108,Planilha4!B109,Planilha4!B109,1)</f>
        <v/>
      </c>
      <c r="F107" t="str">
        <f>SUBSTITUTE(Planilha4!C108,Planilha4!C109,Planilha4!C109,1)</f>
        <v/>
      </c>
      <c r="G107" t="str">
        <f>SUBSTITUTE(Planilha4!D108,Planilha4!D109,Planilha4!D109,1)</f>
        <v/>
      </c>
      <c r="H107" t="str">
        <f>SUBSTITUTE(Planilha4!E108,Planilha4!E109,Planilha4!E109,1)</f>
        <v/>
      </c>
      <c r="I107" t="str">
        <f>SUBSTITUTE(Planilha4!F108,Planilha4!F109,Planilha4!F109,1)</f>
        <v/>
      </c>
      <c r="J107" t="str">
        <f>SUBSTITUTE(Planilha4!G108,Planilha4!G109,Planilha4!G109,1)</f>
        <v/>
      </c>
      <c r="K107" t="str">
        <f>SUBSTITUTE(Planilha4!H108,Planilha4!H109,Planilha4!H109,1)</f>
        <v/>
      </c>
      <c r="L107" t="str">
        <f>SUBSTITUTE(Planilha4!I109,Planilha4!I109,Planilha4!I109,1)</f>
        <v/>
      </c>
      <c r="M107" t="str">
        <f>SUBSTITUTE(Planilha4!J109,Planilha4!J109,Planilha4!J109,1)</f>
        <v/>
      </c>
    </row>
    <row r="108" spans="1:13" x14ac:dyDescent="0.3">
      <c r="D108" t="str">
        <f>SUBSTITUTE(Planilha4!A109,Planilha4!A110,Planilha4!A110,1)</f>
        <v/>
      </c>
      <c r="E108" t="str">
        <f>SUBSTITUTE(Planilha4!B109,Planilha4!B110,Planilha4!B110,1)</f>
        <v/>
      </c>
      <c r="F108" t="str">
        <f>SUBSTITUTE(Planilha4!C109,Planilha4!C110,Planilha4!C110,1)</f>
        <v/>
      </c>
      <c r="G108" t="str">
        <f>SUBSTITUTE(Planilha4!D109,Planilha4!D110,Planilha4!D110,1)</f>
        <v/>
      </c>
      <c r="H108" t="str">
        <f>SUBSTITUTE(Planilha4!E109,Planilha4!E110,Planilha4!E110,1)</f>
        <v/>
      </c>
      <c r="I108" t="str">
        <f>SUBSTITUTE(Planilha4!F109,Planilha4!F110,Planilha4!F110,1)</f>
        <v/>
      </c>
      <c r="J108" t="str">
        <f>SUBSTITUTE(Planilha4!G109,Planilha4!G110,Planilha4!G110,1)</f>
        <v/>
      </c>
      <c r="K108" t="str">
        <f>SUBSTITUTE(Planilha4!H109,Planilha4!H110,Planilha4!H110,1)</f>
        <v/>
      </c>
      <c r="L108" t="str">
        <f>SUBSTITUTE(Planilha4!I110,Planilha4!I110,Planilha4!I110,1)</f>
        <v/>
      </c>
      <c r="M108" t="str">
        <f>SUBSTITUTE(Planilha4!J110,Planilha4!J110,Planilha4!J110,1)</f>
        <v/>
      </c>
    </row>
    <row r="109" spans="1:13" x14ac:dyDescent="0.3">
      <c r="D109" t="str">
        <f>SUBSTITUTE(Planilha4!A110,Planilha4!A111,Planilha4!A111,1)</f>
        <v/>
      </c>
      <c r="E109" t="str">
        <f>SUBSTITUTE(Planilha4!B110,Planilha4!B111,Planilha4!B111,1)</f>
        <v/>
      </c>
      <c r="F109" t="str">
        <f>SUBSTITUTE(Planilha4!C110,Planilha4!C111,Planilha4!C111,1)</f>
        <v/>
      </c>
      <c r="G109" t="str">
        <f>SUBSTITUTE(Planilha4!D110,Planilha4!D111,Planilha4!D111,1)</f>
        <v/>
      </c>
      <c r="H109" t="str">
        <f>SUBSTITUTE(Planilha4!E110,Planilha4!E111,Planilha4!E111,1)</f>
        <v/>
      </c>
      <c r="I109" t="str">
        <f>SUBSTITUTE(Planilha4!F110,Planilha4!F111,Planilha4!F111,1)</f>
        <v/>
      </c>
      <c r="J109" t="str">
        <f>SUBSTITUTE(Planilha4!G110,Planilha4!G111,Planilha4!G111,1)</f>
        <v/>
      </c>
      <c r="K109" t="str">
        <f>SUBSTITUTE(Planilha4!H110,Planilha4!H111,Planilha4!H111,1)</f>
        <v/>
      </c>
      <c r="L109" t="str">
        <f>SUBSTITUTE(Planilha4!I111,Planilha4!I111,Planilha4!I111,1)</f>
        <v/>
      </c>
      <c r="M109" t="str">
        <f>SUBSTITUTE(Planilha4!J111,Planilha4!J111,Planilha4!J111,1)</f>
        <v/>
      </c>
    </row>
    <row r="110" spans="1:13" x14ac:dyDescent="0.3">
      <c r="D110" t="str">
        <f>SUBSTITUTE(Planilha4!A111,Planilha4!A112,Planilha4!A112,1)</f>
        <v/>
      </c>
      <c r="E110" t="str">
        <f>SUBSTITUTE(Planilha4!B111,Planilha4!B112,Planilha4!B112,1)</f>
        <v/>
      </c>
      <c r="F110" t="str">
        <f>SUBSTITUTE(Planilha4!C111,Planilha4!C112,Planilha4!C112,1)</f>
        <v/>
      </c>
      <c r="G110" t="str">
        <f>SUBSTITUTE(Planilha4!D111,Planilha4!D112,Planilha4!D112,1)</f>
        <v/>
      </c>
      <c r="H110" t="str">
        <f>SUBSTITUTE(Planilha4!E111,Planilha4!E112,Planilha4!E112,1)</f>
        <v/>
      </c>
      <c r="I110" t="str">
        <f>SUBSTITUTE(Planilha4!F111,Planilha4!F112,Planilha4!F112,1)</f>
        <v/>
      </c>
      <c r="J110" t="str">
        <f>SUBSTITUTE(Planilha4!G111,Planilha4!G112,Planilha4!G112,1)</f>
        <v/>
      </c>
      <c r="K110" t="str">
        <f>SUBSTITUTE(Planilha4!H111,Planilha4!H112,Planilha4!H112,1)</f>
        <v/>
      </c>
      <c r="L110" t="str">
        <f>SUBSTITUTE(Planilha4!I112,Planilha4!I112,Planilha4!I112,1)</f>
        <v/>
      </c>
      <c r="M110" t="str">
        <f>SUBSTITUTE(Planilha4!J112,Planilha4!J112,Planilha4!J112,1)</f>
        <v/>
      </c>
    </row>
    <row r="111" spans="1:13" x14ac:dyDescent="0.3">
      <c r="D111" t="str">
        <f>SUBSTITUTE(Planilha4!A112,Planilha4!A113,Planilha4!A113,1)</f>
        <v/>
      </c>
      <c r="E111" t="str">
        <f>SUBSTITUTE(Planilha4!B112,Planilha4!B113,Planilha4!B113,1)</f>
        <v/>
      </c>
      <c r="F111" t="str">
        <f>SUBSTITUTE(Planilha4!C112,Planilha4!C113,Planilha4!C113,1)</f>
        <v/>
      </c>
      <c r="G111" t="str">
        <f>SUBSTITUTE(Planilha4!D112,Planilha4!D113,Planilha4!D113,1)</f>
        <v/>
      </c>
      <c r="H111" t="str">
        <f>SUBSTITUTE(Planilha4!E112,Planilha4!E113,Planilha4!E113,1)</f>
        <v/>
      </c>
      <c r="I111" t="str">
        <f>SUBSTITUTE(Planilha4!F112,Planilha4!F113,Planilha4!F113,1)</f>
        <v/>
      </c>
      <c r="J111" t="str">
        <f>SUBSTITUTE(Planilha4!G112,Planilha4!G113,Planilha4!G113,1)</f>
        <v/>
      </c>
      <c r="K111" t="str">
        <f>SUBSTITUTE(Planilha4!H112,Planilha4!H113,Planilha4!H113,1)</f>
        <v/>
      </c>
      <c r="L111" t="str">
        <f>SUBSTITUTE(Planilha4!I113,Planilha4!I113,Planilha4!I113,1)</f>
        <v/>
      </c>
      <c r="M111" t="str">
        <f>SUBSTITUTE(Planilha4!J113,Planilha4!J113,Planilha4!J113,1)</f>
        <v/>
      </c>
    </row>
    <row r="112" spans="1:13" x14ac:dyDescent="0.3">
      <c r="D112" t="str">
        <f>SUBSTITUTE(Planilha4!A113,Planilha4!A114,Planilha4!A114,1)</f>
        <v/>
      </c>
      <c r="E112" t="str">
        <f>SUBSTITUTE(Planilha4!B113,Planilha4!B114,Planilha4!B114,1)</f>
        <v/>
      </c>
      <c r="F112" t="str">
        <f>SUBSTITUTE(Planilha4!C113,Planilha4!C114,Planilha4!C114,1)</f>
        <v/>
      </c>
      <c r="G112" t="str">
        <f>SUBSTITUTE(Planilha4!D113,Planilha4!D114,Planilha4!D114,1)</f>
        <v/>
      </c>
      <c r="H112" t="str">
        <f>SUBSTITUTE(Planilha4!E113,Planilha4!E114,Planilha4!E114,1)</f>
        <v/>
      </c>
      <c r="I112" t="str">
        <f>SUBSTITUTE(Planilha4!F113,Planilha4!F114,Planilha4!F114,1)</f>
        <v/>
      </c>
      <c r="J112" t="str">
        <f>SUBSTITUTE(Planilha4!G113,Planilha4!G114,Planilha4!G114,1)</f>
        <v/>
      </c>
      <c r="K112" t="str">
        <f>SUBSTITUTE(Planilha4!H113,Planilha4!H114,Planilha4!H114,1)</f>
        <v/>
      </c>
      <c r="L112" t="str">
        <f>SUBSTITUTE(Planilha4!I114,Planilha4!I114,Planilha4!I114,1)</f>
        <v/>
      </c>
      <c r="M112" t="str">
        <f>SUBSTITUTE(Planilha4!J114,Planilha4!J114,Planilha4!J114,1)</f>
        <v/>
      </c>
    </row>
    <row r="113" spans="4:13" x14ac:dyDescent="0.3">
      <c r="D113" t="str">
        <f>SUBSTITUTE(Planilha4!A114,Planilha4!A115,Planilha4!A115,1)</f>
        <v/>
      </c>
      <c r="E113" t="str">
        <f>SUBSTITUTE(Planilha4!B114,Planilha4!B115,Planilha4!B115,1)</f>
        <v/>
      </c>
      <c r="F113" t="str">
        <f>SUBSTITUTE(Planilha4!C114,Planilha4!C115,Planilha4!C115,1)</f>
        <v/>
      </c>
      <c r="G113" t="str">
        <f>SUBSTITUTE(Planilha4!D114,Planilha4!D115,Planilha4!D115,1)</f>
        <v/>
      </c>
      <c r="H113" t="str">
        <f>SUBSTITUTE(Planilha4!E114,Planilha4!E115,Planilha4!E115,1)</f>
        <v/>
      </c>
      <c r="I113" t="str">
        <f>SUBSTITUTE(Planilha4!F114,Planilha4!F115,Planilha4!F115,1)</f>
        <v/>
      </c>
      <c r="J113" t="str">
        <f>SUBSTITUTE(Planilha4!G114,Planilha4!G115,Planilha4!G115,1)</f>
        <v/>
      </c>
      <c r="K113" t="str">
        <f>SUBSTITUTE(Planilha4!H114,Planilha4!H115,Planilha4!H115,1)</f>
        <v/>
      </c>
      <c r="L113" t="str">
        <f>SUBSTITUTE(Planilha4!I115,Planilha4!I115,Planilha4!I115,1)</f>
        <v/>
      </c>
      <c r="M113" t="str">
        <f>SUBSTITUTE(Planilha4!J115,Planilha4!J115,Planilha4!J115,1)</f>
        <v/>
      </c>
    </row>
    <row r="114" spans="4:13" x14ac:dyDescent="0.3">
      <c r="D114" t="str">
        <f>SUBSTITUTE(Planilha4!A115,Planilha4!A116,Planilha4!A116,1)</f>
        <v/>
      </c>
      <c r="E114" t="str">
        <f>SUBSTITUTE(Planilha4!B115,Planilha4!B116,Planilha4!B116,1)</f>
        <v/>
      </c>
      <c r="F114" t="str">
        <f>SUBSTITUTE(Planilha4!C115,Planilha4!C116,Planilha4!C116,1)</f>
        <v/>
      </c>
      <c r="G114" t="str">
        <f>SUBSTITUTE(Planilha4!D115,Planilha4!D116,Planilha4!D116,1)</f>
        <v/>
      </c>
      <c r="H114" t="str">
        <f>SUBSTITUTE(Planilha4!E115,Planilha4!E116,Planilha4!E116,1)</f>
        <v/>
      </c>
      <c r="I114" t="str">
        <f>SUBSTITUTE(Planilha4!F115,Planilha4!F116,Planilha4!F116,1)</f>
        <v/>
      </c>
      <c r="J114" t="str">
        <f>SUBSTITUTE(Planilha4!G115,Planilha4!G116,Planilha4!G116,1)</f>
        <v/>
      </c>
      <c r="K114" t="str">
        <f>SUBSTITUTE(Planilha4!H115,Planilha4!H116,Planilha4!H116,1)</f>
        <v/>
      </c>
      <c r="L114" t="str">
        <f>SUBSTITUTE(Planilha4!I116,Planilha4!I116,Planilha4!I116,1)</f>
        <v/>
      </c>
      <c r="M114" t="str">
        <f>SUBSTITUTE(Planilha4!J116,Planilha4!J116,Planilha4!J116,1)</f>
        <v/>
      </c>
    </row>
    <row r="115" spans="4:13" x14ac:dyDescent="0.3">
      <c r="D115" t="str">
        <f>SUBSTITUTE(Planilha4!A116,Planilha4!A117,Planilha4!A117,1)</f>
        <v/>
      </c>
      <c r="E115" t="str">
        <f>SUBSTITUTE(Planilha4!B116,Planilha4!B117,Planilha4!B117,1)</f>
        <v/>
      </c>
      <c r="F115" t="str">
        <f>SUBSTITUTE(Planilha4!C116,Planilha4!C117,Planilha4!C117,1)</f>
        <v/>
      </c>
      <c r="G115" t="str">
        <f>SUBSTITUTE(Planilha4!D116,Planilha4!D117,Planilha4!D117,1)</f>
        <v/>
      </c>
      <c r="H115" t="str">
        <f>SUBSTITUTE(Planilha4!E116,Planilha4!E117,Planilha4!E117,1)</f>
        <v/>
      </c>
      <c r="I115" t="str">
        <f>SUBSTITUTE(Planilha4!F116,Planilha4!F117,Planilha4!F117,1)</f>
        <v/>
      </c>
      <c r="J115" t="str">
        <f>SUBSTITUTE(Planilha4!G116,Planilha4!G117,Planilha4!G117,1)</f>
        <v/>
      </c>
      <c r="K115" t="str">
        <f>SUBSTITUTE(Planilha4!H116,Planilha4!H117,Planilha4!H117,1)</f>
        <v/>
      </c>
      <c r="L115" t="str">
        <f>SUBSTITUTE(Planilha4!I117,Planilha4!I117,Planilha4!I117,1)</f>
        <v/>
      </c>
      <c r="M115" t="str">
        <f>SUBSTITUTE(Planilha4!J117,Planilha4!J117,Planilha4!J117,1)</f>
        <v/>
      </c>
    </row>
    <row r="116" spans="4:13" x14ac:dyDescent="0.3">
      <c r="D116" t="str">
        <f>SUBSTITUTE(Planilha4!A117,Planilha4!A118,Planilha4!A118,1)</f>
        <v/>
      </c>
      <c r="E116" t="str">
        <f>SUBSTITUTE(Planilha4!B117,Planilha4!B118,Planilha4!B118,1)</f>
        <v/>
      </c>
      <c r="F116" t="str">
        <f>SUBSTITUTE(Planilha4!C117,Planilha4!C118,Planilha4!C118,1)</f>
        <v/>
      </c>
      <c r="G116" t="str">
        <f>SUBSTITUTE(Planilha4!D117,Planilha4!D118,Planilha4!D118,1)</f>
        <v/>
      </c>
      <c r="H116" t="str">
        <f>SUBSTITUTE(Planilha4!E117,Planilha4!E118,Planilha4!E118,1)</f>
        <v/>
      </c>
      <c r="I116" t="str">
        <f>SUBSTITUTE(Planilha4!F117,Planilha4!F118,Planilha4!F118,1)</f>
        <v/>
      </c>
      <c r="J116" t="str">
        <f>SUBSTITUTE(Planilha4!G117,Planilha4!G118,Planilha4!G118,1)</f>
        <v/>
      </c>
      <c r="K116" t="str">
        <f>SUBSTITUTE(Planilha4!H117,Planilha4!H118,Planilha4!H118,1)</f>
        <v/>
      </c>
      <c r="L116" t="str">
        <f>SUBSTITUTE(Planilha4!I118,Planilha4!I118,Planilha4!I118,1)</f>
        <v/>
      </c>
      <c r="M116" t="str">
        <f>SUBSTITUTE(Planilha4!J118,Planilha4!J118,Planilha4!J118,1)</f>
        <v/>
      </c>
    </row>
    <row r="117" spans="4:13" x14ac:dyDescent="0.3">
      <c r="D117" t="str">
        <f>SUBSTITUTE(Planilha4!A118,Planilha4!A119,Planilha4!A119,1)</f>
        <v/>
      </c>
      <c r="E117" t="str">
        <f>SUBSTITUTE(Planilha4!B118,Planilha4!B119,Planilha4!B119,1)</f>
        <v/>
      </c>
      <c r="F117" t="str">
        <f>SUBSTITUTE(Planilha4!C118,Planilha4!C119,Planilha4!C119,1)</f>
        <v/>
      </c>
      <c r="G117" t="str">
        <f>SUBSTITUTE(Planilha4!D118,Planilha4!D119,Planilha4!D119,1)</f>
        <v/>
      </c>
      <c r="H117" t="str">
        <f>SUBSTITUTE(Planilha4!E118,Planilha4!E119,Planilha4!E119,1)</f>
        <v/>
      </c>
      <c r="I117" t="str">
        <f>SUBSTITUTE(Planilha4!F118,Planilha4!F119,Planilha4!F119,1)</f>
        <v/>
      </c>
      <c r="J117" t="str">
        <f>SUBSTITUTE(Planilha4!G118,Planilha4!G119,Planilha4!G119,1)</f>
        <v/>
      </c>
      <c r="K117" t="str">
        <f>SUBSTITUTE(Planilha4!H118,Planilha4!H119,Planilha4!H119,1)</f>
        <v/>
      </c>
      <c r="L117" t="str">
        <f>SUBSTITUTE(Planilha4!I119,Planilha4!I119,Planilha4!I119,1)</f>
        <v/>
      </c>
      <c r="M117" t="str">
        <f>SUBSTITUTE(Planilha4!J119,Planilha4!J119,Planilha4!J119,1)</f>
        <v/>
      </c>
    </row>
    <row r="118" spans="4:13" x14ac:dyDescent="0.3">
      <c r="D118" t="str">
        <f>SUBSTITUTE(Planilha4!A119,Planilha4!A120,Planilha4!A120,1)</f>
        <v/>
      </c>
      <c r="E118" t="str">
        <f>SUBSTITUTE(Planilha4!B119,Planilha4!B120,Planilha4!B120,1)</f>
        <v/>
      </c>
      <c r="F118" t="str">
        <f>SUBSTITUTE(Planilha4!C119,Planilha4!C120,Planilha4!C120,1)</f>
        <v/>
      </c>
      <c r="G118" t="str">
        <f>SUBSTITUTE(Planilha4!D119,Planilha4!D120,Planilha4!D120,1)</f>
        <v/>
      </c>
      <c r="H118" t="str">
        <f>SUBSTITUTE(Planilha4!E119,Planilha4!E120,Planilha4!E120,1)</f>
        <v/>
      </c>
      <c r="I118" t="str">
        <f>SUBSTITUTE(Planilha4!F119,Planilha4!F120,Planilha4!F120,1)</f>
        <v/>
      </c>
      <c r="J118" t="str">
        <f>SUBSTITUTE(Planilha4!G119,Planilha4!G120,Planilha4!G120,1)</f>
        <v/>
      </c>
      <c r="K118" t="str">
        <f>SUBSTITUTE(Planilha4!H119,Planilha4!H120,Planilha4!H120,1)</f>
        <v/>
      </c>
      <c r="L118" t="str">
        <f>SUBSTITUTE(Planilha4!I120,Planilha4!I120,Planilha4!I120,1)</f>
        <v/>
      </c>
      <c r="M118" t="str">
        <f>SUBSTITUTE(Planilha4!J120,Planilha4!J120,Planilha4!J120,1)</f>
        <v/>
      </c>
    </row>
    <row r="119" spans="4:13" x14ac:dyDescent="0.3">
      <c r="D119" t="str">
        <f>SUBSTITUTE(Planilha4!A120,Planilha4!A121,Planilha4!A121,1)</f>
        <v/>
      </c>
      <c r="E119" t="str">
        <f>SUBSTITUTE(Planilha4!B120,Planilha4!B121,Planilha4!B121,1)</f>
        <v/>
      </c>
      <c r="F119" t="str">
        <f>SUBSTITUTE(Planilha4!C120,Planilha4!C121,Planilha4!C121,1)</f>
        <v/>
      </c>
      <c r="G119" t="str">
        <f>SUBSTITUTE(Planilha4!D120,Planilha4!D121,Planilha4!D121,1)</f>
        <v/>
      </c>
      <c r="H119" t="str">
        <f>SUBSTITUTE(Planilha4!E120,Planilha4!E121,Planilha4!E121,1)</f>
        <v/>
      </c>
      <c r="I119" t="str">
        <f>SUBSTITUTE(Planilha4!F120,Planilha4!F121,Planilha4!F121,1)</f>
        <v/>
      </c>
      <c r="J119" t="str">
        <f>SUBSTITUTE(Planilha4!G120,Planilha4!G121,Planilha4!G121,1)</f>
        <v/>
      </c>
      <c r="K119" t="str">
        <f>SUBSTITUTE(Planilha4!H120,Planilha4!H121,Planilha4!H121,1)</f>
        <v/>
      </c>
      <c r="L119" t="str">
        <f>SUBSTITUTE(Planilha4!I121,Planilha4!I121,Planilha4!I121,1)</f>
        <v/>
      </c>
      <c r="M119" t="str">
        <f>SUBSTITUTE(Planilha4!J121,Planilha4!J121,Planilha4!J121,1)</f>
        <v/>
      </c>
    </row>
    <row r="120" spans="4:13" x14ac:dyDescent="0.3">
      <c r="D120" t="str">
        <f>SUBSTITUTE(Planilha4!A121,Planilha4!A122,Planilha4!A122,1)</f>
        <v/>
      </c>
      <c r="E120" t="str">
        <f>SUBSTITUTE(Planilha4!B121,Planilha4!B122,Planilha4!B122,1)</f>
        <v/>
      </c>
      <c r="F120" t="str">
        <f>SUBSTITUTE(Planilha4!C121,Planilha4!C122,Planilha4!C122,1)</f>
        <v/>
      </c>
      <c r="G120" t="str">
        <f>SUBSTITUTE(Planilha4!D121,Planilha4!D122,Planilha4!D122,1)</f>
        <v/>
      </c>
      <c r="H120" t="str">
        <f>SUBSTITUTE(Planilha4!E121,Planilha4!E122,Planilha4!E122,1)</f>
        <v/>
      </c>
      <c r="I120" t="str">
        <f>SUBSTITUTE(Planilha4!F121,Planilha4!F122,Planilha4!F122,1)</f>
        <v/>
      </c>
      <c r="J120" t="str">
        <f>SUBSTITUTE(Planilha4!G121,Planilha4!G122,Planilha4!G122,1)</f>
        <v/>
      </c>
      <c r="K120" t="str">
        <f>SUBSTITUTE(Planilha4!H121,Planilha4!H122,Planilha4!H122,1)</f>
        <v/>
      </c>
      <c r="L120" t="str">
        <f>SUBSTITUTE(Planilha4!I122,Planilha4!I122,Planilha4!I122,1)</f>
        <v/>
      </c>
      <c r="M120" t="str">
        <f>SUBSTITUTE(Planilha4!J122,Planilha4!J122,Planilha4!J122,1)</f>
        <v/>
      </c>
    </row>
    <row r="121" spans="4:13" x14ac:dyDescent="0.3">
      <c r="D121" t="str">
        <f>SUBSTITUTE(Planilha4!A122,Planilha4!A123,Planilha4!A123,1)</f>
        <v/>
      </c>
      <c r="E121" t="str">
        <f>SUBSTITUTE(Planilha4!B122,Planilha4!B123,Planilha4!B123,1)</f>
        <v/>
      </c>
      <c r="F121" t="str">
        <f>SUBSTITUTE(Planilha4!C122,Planilha4!C123,Planilha4!C123,1)</f>
        <v/>
      </c>
      <c r="G121" t="str">
        <f>SUBSTITUTE(Planilha4!D122,Planilha4!D123,Planilha4!D123,1)</f>
        <v/>
      </c>
      <c r="H121" t="str">
        <f>SUBSTITUTE(Planilha4!E122,Planilha4!E123,Planilha4!E123,1)</f>
        <v/>
      </c>
      <c r="I121" t="str">
        <f>SUBSTITUTE(Planilha4!F122,Planilha4!F123,Planilha4!F123,1)</f>
        <v/>
      </c>
      <c r="J121" t="str">
        <f>SUBSTITUTE(Planilha4!G122,Planilha4!G123,Planilha4!G123,1)</f>
        <v/>
      </c>
      <c r="K121" t="str">
        <f>SUBSTITUTE(Planilha4!H122,Planilha4!H123,Planilha4!H123,1)</f>
        <v/>
      </c>
      <c r="L121" t="str">
        <f>SUBSTITUTE(Planilha4!I123,Planilha4!I123,Planilha4!I123,1)</f>
        <v/>
      </c>
      <c r="M121" t="str">
        <f>SUBSTITUTE(Planilha4!J123,Planilha4!J123,Planilha4!J123,1)</f>
        <v/>
      </c>
    </row>
    <row r="122" spans="4:13" x14ac:dyDescent="0.3">
      <c r="D122" t="str">
        <f>SUBSTITUTE(Planilha4!A123,Planilha4!A124,Planilha4!A124,1)</f>
        <v/>
      </c>
      <c r="E122" t="str">
        <f>SUBSTITUTE(Planilha4!B123,Planilha4!B124,Planilha4!B124,1)</f>
        <v/>
      </c>
      <c r="F122" t="str">
        <f>SUBSTITUTE(Planilha4!C123,Planilha4!C124,Planilha4!C124,1)</f>
        <v/>
      </c>
      <c r="G122" t="str">
        <f>SUBSTITUTE(Planilha4!D123,Planilha4!D124,Planilha4!D124,1)</f>
        <v/>
      </c>
      <c r="H122" t="str">
        <f>SUBSTITUTE(Planilha4!E123,Planilha4!E124,Planilha4!E124,1)</f>
        <v/>
      </c>
      <c r="I122" t="str">
        <f>SUBSTITUTE(Planilha4!F123,Planilha4!F124,Planilha4!F124,1)</f>
        <v/>
      </c>
      <c r="J122" t="str">
        <f>SUBSTITUTE(Planilha4!G123,Planilha4!G124,Planilha4!G124,1)</f>
        <v/>
      </c>
      <c r="K122" t="str">
        <f>SUBSTITUTE(Planilha4!H123,Planilha4!H124,Planilha4!H124,1)</f>
        <v/>
      </c>
      <c r="L122" t="str">
        <f>SUBSTITUTE(Planilha4!I124,Planilha4!I124,Planilha4!I124,1)</f>
        <v/>
      </c>
      <c r="M122" t="str">
        <f>SUBSTITUTE(Planilha4!J124,Planilha4!J124,Planilha4!J124,1)</f>
        <v/>
      </c>
    </row>
    <row r="123" spans="4:13" x14ac:dyDescent="0.3">
      <c r="D123" t="str">
        <f>SUBSTITUTE(Planilha4!A124,Planilha4!A125,Planilha4!A125,1)</f>
        <v/>
      </c>
      <c r="E123" t="str">
        <f>SUBSTITUTE(Planilha4!B124,Planilha4!B125,Planilha4!B125,1)</f>
        <v/>
      </c>
      <c r="F123" t="str">
        <f>SUBSTITUTE(Planilha4!C124,Planilha4!C125,Planilha4!C125,1)</f>
        <v/>
      </c>
      <c r="G123" t="str">
        <f>SUBSTITUTE(Planilha4!D124,Planilha4!D125,Planilha4!D125,1)</f>
        <v/>
      </c>
      <c r="H123" t="str">
        <f>SUBSTITUTE(Planilha4!E124,Planilha4!E125,Planilha4!E125,1)</f>
        <v/>
      </c>
      <c r="I123" t="str">
        <f>SUBSTITUTE(Planilha4!F124,Planilha4!F125,Planilha4!F125,1)</f>
        <v/>
      </c>
      <c r="J123" t="str">
        <f>SUBSTITUTE(Planilha4!G124,Planilha4!G125,Planilha4!G125,1)</f>
        <v/>
      </c>
      <c r="K123" t="str">
        <f>SUBSTITUTE(Planilha4!H124,Planilha4!H125,Planilha4!H125,1)</f>
        <v/>
      </c>
      <c r="L123" t="str">
        <f>SUBSTITUTE(Planilha4!I125,Planilha4!I125,Planilha4!I125,1)</f>
        <v/>
      </c>
      <c r="M123" t="str">
        <f>SUBSTITUTE(Planilha4!J125,Planilha4!J125,Planilha4!J125,1)</f>
        <v/>
      </c>
    </row>
    <row r="124" spans="4:13" x14ac:dyDescent="0.3">
      <c r="D124" t="str">
        <f>SUBSTITUTE(Planilha4!A125,Planilha4!A126,Planilha4!A126,1)</f>
        <v/>
      </c>
      <c r="E124" t="str">
        <f>SUBSTITUTE(Planilha4!B125,Planilha4!B126,Planilha4!B126,1)</f>
        <v/>
      </c>
      <c r="F124" t="str">
        <f>SUBSTITUTE(Planilha4!C125,Planilha4!C126,Planilha4!C126,1)</f>
        <v/>
      </c>
      <c r="G124" t="str">
        <f>SUBSTITUTE(Planilha4!D125,Planilha4!D126,Planilha4!D126,1)</f>
        <v/>
      </c>
      <c r="H124" t="str">
        <f>SUBSTITUTE(Planilha4!E125,Planilha4!E126,Planilha4!E126,1)</f>
        <v/>
      </c>
      <c r="I124" t="str">
        <f>SUBSTITUTE(Planilha4!F125,Planilha4!F126,Planilha4!F126,1)</f>
        <v/>
      </c>
      <c r="J124" t="str">
        <f>SUBSTITUTE(Planilha4!G125,Planilha4!G126,Planilha4!G126,1)</f>
        <v/>
      </c>
      <c r="K124" t="str">
        <f>SUBSTITUTE(Planilha4!H125,Planilha4!H126,Planilha4!H126,1)</f>
        <v/>
      </c>
      <c r="L124" t="str">
        <f>SUBSTITUTE(Planilha4!I126,Planilha4!I126,Planilha4!I126,1)</f>
        <v/>
      </c>
      <c r="M124" t="str">
        <f>SUBSTITUTE(Planilha4!J126,Planilha4!J126,Planilha4!J126,1)</f>
        <v/>
      </c>
    </row>
    <row r="125" spans="4:13" x14ac:dyDescent="0.3">
      <c r="D125" t="str">
        <f>SUBSTITUTE(Planilha4!A126,Planilha4!A127,Planilha4!A127,1)</f>
        <v/>
      </c>
      <c r="E125" t="str">
        <f>SUBSTITUTE(Planilha4!B126,Planilha4!B127,Planilha4!B127,1)</f>
        <v/>
      </c>
      <c r="F125" t="str">
        <f>SUBSTITUTE(Planilha4!C126,Planilha4!C127,Planilha4!C127,1)</f>
        <v/>
      </c>
      <c r="G125" t="str">
        <f>SUBSTITUTE(Planilha4!D126,Planilha4!D127,Planilha4!D127,1)</f>
        <v/>
      </c>
      <c r="H125" t="str">
        <f>SUBSTITUTE(Planilha4!E126,Planilha4!E127,Planilha4!E127,1)</f>
        <v/>
      </c>
      <c r="I125" t="str">
        <f>SUBSTITUTE(Planilha4!F126,Planilha4!F127,Planilha4!F127,1)</f>
        <v/>
      </c>
      <c r="J125" t="str">
        <f>SUBSTITUTE(Planilha4!G126,Planilha4!G127,Planilha4!G127,1)</f>
        <v/>
      </c>
      <c r="K125" t="str">
        <f>SUBSTITUTE(Planilha4!H126,Planilha4!H127,Planilha4!H127,1)</f>
        <v/>
      </c>
      <c r="L125" t="str">
        <f>SUBSTITUTE(Planilha4!I127,Planilha4!I127,Planilha4!I127,1)</f>
        <v/>
      </c>
      <c r="M125" t="str">
        <f>SUBSTITUTE(Planilha4!J127,Planilha4!J127,Planilha4!J127,1)</f>
        <v/>
      </c>
    </row>
    <row r="126" spans="4:13" x14ac:dyDescent="0.3">
      <c r="D126" t="str">
        <f>SUBSTITUTE(Planilha4!A127,Planilha4!A128,Planilha4!A128,1)</f>
        <v/>
      </c>
      <c r="E126" t="str">
        <f>SUBSTITUTE(Planilha4!B127,Planilha4!B128,Planilha4!B128,1)</f>
        <v/>
      </c>
      <c r="F126" t="str">
        <f>SUBSTITUTE(Planilha4!C127,Planilha4!C128,Planilha4!C128,1)</f>
        <v/>
      </c>
      <c r="G126" t="str">
        <f>SUBSTITUTE(Planilha4!D127,Planilha4!D128,Planilha4!D128,1)</f>
        <v/>
      </c>
      <c r="H126" t="str">
        <f>SUBSTITUTE(Planilha4!E127,Planilha4!E128,Planilha4!E128,1)</f>
        <v/>
      </c>
      <c r="I126" t="str">
        <f>SUBSTITUTE(Planilha4!F127,Planilha4!F128,Planilha4!F128,1)</f>
        <v/>
      </c>
      <c r="J126" t="str">
        <f>SUBSTITUTE(Planilha4!G127,Planilha4!G128,Planilha4!G128,1)</f>
        <v/>
      </c>
      <c r="K126" t="str">
        <f>SUBSTITUTE(Planilha4!H127,Planilha4!H128,Planilha4!H128,1)</f>
        <v/>
      </c>
      <c r="L126" t="str">
        <f>SUBSTITUTE(Planilha4!I128,Planilha4!I128,Planilha4!I128,1)</f>
        <v/>
      </c>
      <c r="M126" t="str">
        <f>SUBSTITUTE(Planilha4!J128,Planilha4!J128,Planilha4!J128,1)</f>
        <v/>
      </c>
    </row>
    <row r="127" spans="4:13" x14ac:dyDescent="0.3">
      <c r="D127" t="str">
        <f>SUBSTITUTE(Planilha4!A128,Planilha4!A129,Planilha4!A129,1)</f>
        <v/>
      </c>
      <c r="E127" t="str">
        <f>SUBSTITUTE(Planilha4!B128,Planilha4!B129,Planilha4!B129,1)</f>
        <v/>
      </c>
      <c r="F127" t="str">
        <f>SUBSTITUTE(Planilha4!C128,Planilha4!C129,Planilha4!C129,1)</f>
        <v/>
      </c>
      <c r="G127" t="str">
        <f>SUBSTITUTE(Planilha4!D128,Planilha4!D129,Planilha4!D129,1)</f>
        <v/>
      </c>
      <c r="H127" t="str">
        <f>SUBSTITUTE(Planilha4!E128,Planilha4!E129,Planilha4!E129,1)</f>
        <v/>
      </c>
      <c r="I127" t="str">
        <f>SUBSTITUTE(Planilha4!F128,Planilha4!F129,Planilha4!F129,1)</f>
        <v/>
      </c>
      <c r="J127" t="str">
        <f>SUBSTITUTE(Planilha4!G128,Planilha4!G129,Planilha4!G129,1)</f>
        <v/>
      </c>
      <c r="K127" t="str">
        <f>SUBSTITUTE(Planilha4!H128,Planilha4!H129,Planilha4!H129,1)</f>
        <v/>
      </c>
      <c r="L127" t="str">
        <f>SUBSTITUTE(Planilha4!I129,Planilha4!I129,Planilha4!I129,1)</f>
        <v/>
      </c>
      <c r="M127" t="str">
        <f>SUBSTITUTE(Planilha4!J129,Planilha4!J129,Planilha4!J129,1)</f>
        <v/>
      </c>
    </row>
    <row r="128" spans="4:13" x14ac:dyDescent="0.3">
      <c r="D128" t="str">
        <f>SUBSTITUTE(Planilha4!A129,Planilha4!A130,Planilha4!A130,1)</f>
        <v/>
      </c>
      <c r="E128" t="str">
        <f>SUBSTITUTE(Planilha4!B129,Planilha4!B130,Planilha4!B130,1)</f>
        <v/>
      </c>
      <c r="F128" t="str">
        <f>SUBSTITUTE(Planilha4!C129,Planilha4!C130,Planilha4!C130,1)</f>
        <v/>
      </c>
      <c r="G128" t="str">
        <f>SUBSTITUTE(Planilha4!D129,Planilha4!D130,Planilha4!D130,1)</f>
        <v/>
      </c>
      <c r="H128" t="str">
        <f>SUBSTITUTE(Planilha4!E129,Planilha4!E130,Planilha4!E130,1)</f>
        <v/>
      </c>
      <c r="I128" t="str">
        <f>SUBSTITUTE(Planilha4!F129,Planilha4!F130,Planilha4!F130,1)</f>
        <v/>
      </c>
      <c r="J128" t="str">
        <f>SUBSTITUTE(Planilha4!G129,Planilha4!G130,Planilha4!G130,1)</f>
        <v/>
      </c>
      <c r="K128" t="str">
        <f>SUBSTITUTE(Planilha4!H129,Planilha4!H130,Planilha4!H130,1)</f>
        <v/>
      </c>
      <c r="L128" t="str">
        <f>SUBSTITUTE(Planilha4!I130,Planilha4!I130,Planilha4!I130,1)</f>
        <v/>
      </c>
      <c r="M128" t="str">
        <f>SUBSTITUTE(Planilha4!J130,Planilha4!J130,Planilha4!J130,1)</f>
        <v/>
      </c>
    </row>
    <row r="129" spans="4:13" x14ac:dyDescent="0.3">
      <c r="D129" t="str">
        <f>SUBSTITUTE(Planilha4!A130,Planilha4!A131,Planilha4!A131,1)</f>
        <v/>
      </c>
      <c r="E129" t="str">
        <f>SUBSTITUTE(Planilha4!B130,Planilha4!B131,Planilha4!B131,1)</f>
        <v/>
      </c>
      <c r="F129" t="str">
        <f>SUBSTITUTE(Planilha4!C130,Planilha4!C131,Planilha4!C131,1)</f>
        <v/>
      </c>
      <c r="G129" t="str">
        <f>SUBSTITUTE(Planilha4!D130,Planilha4!D131,Planilha4!D131,1)</f>
        <v/>
      </c>
      <c r="H129" t="str">
        <f>SUBSTITUTE(Planilha4!E130,Planilha4!E131,Planilha4!E131,1)</f>
        <v/>
      </c>
      <c r="I129" t="str">
        <f>SUBSTITUTE(Planilha4!F130,Planilha4!F131,Planilha4!F131,1)</f>
        <v/>
      </c>
      <c r="J129" t="str">
        <f>SUBSTITUTE(Planilha4!G130,Planilha4!G131,Planilha4!G131,1)</f>
        <v/>
      </c>
      <c r="K129" t="str">
        <f>SUBSTITUTE(Planilha4!H130,Planilha4!H131,Planilha4!H131,1)</f>
        <v/>
      </c>
      <c r="L129" t="str">
        <f>SUBSTITUTE(Planilha4!I131,Planilha4!I131,Planilha4!I131,1)</f>
        <v/>
      </c>
      <c r="M129" t="str">
        <f>SUBSTITUTE(Planilha4!J131,Planilha4!J131,Planilha4!J131,1)</f>
        <v/>
      </c>
    </row>
    <row r="130" spans="4:13" x14ac:dyDescent="0.3">
      <c r="D130" t="str">
        <f>SUBSTITUTE(Planilha4!A131,Planilha4!A132,Planilha4!A132,1)</f>
        <v/>
      </c>
      <c r="E130" t="str">
        <f>SUBSTITUTE(Planilha4!B131,Planilha4!B132,Planilha4!B132,1)</f>
        <v/>
      </c>
      <c r="F130" t="str">
        <f>SUBSTITUTE(Planilha4!C131,Planilha4!C132,Planilha4!C132,1)</f>
        <v/>
      </c>
      <c r="G130" t="str">
        <f>SUBSTITUTE(Planilha4!D131,Planilha4!D132,Planilha4!D132,1)</f>
        <v/>
      </c>
      <c r="H130" t="str">
        <f>SUBSTITUTE(Planilha4!E131,Planilha4!E132,Planilha4!E132,1)</f>
        <v/>
      </c>
      <c r="I130" t="str">
        <f>SUBSTITUTE(Planilha4!F131,Planilha4!F132,Planilha4!F132,1)</f>
        <v/>
      </c>
      <c r="J130" t="str">
        <f>SUBSTITUTE(Planilha4!G131,Planilha4!G132,Planilha4!G132,1)</f>
        <v/>
      </c>
      <c r="K130" t="str">
        <f>SUBSTITUTE(Planilha4!H131,Planilha4!H132,Planilha4!H132,1)</f>
        <v/>
      </c>
      <c r="L130" t="str">
        <f>SUBSTITUTE(Planilha4!I132,Planilha4!I132,Planilha4!I132,1)</f>
        <v/>
      </c>
      <c r="M130" t="str">
        <f>SUBSTITUTE(Planilha4!J132,Planilha4!J132,Planilha4!J132,1)</f>
        <v/>
      </c>
    </row>
    <row r="131" spans="4:13" x14ac:dyDescent="0.3">
      <c r="D131" t="str">
        <f>SUBSTITUTE(Planilha4!A132,Planilha4!A133,Planilha4!A133,1)</f>
        <v/>
      </c>
      <c r="E131" t="str">
        <f>SUBSTITUTE(Planilha4!B132,Planilha4!B133,Planilha4!B133,1)</f>
        <v/>
      </c>
      <c r="F131" t="str">
        <f>SUBSTITUTE(Planilha4!C132,Planilha4!C133,Planilha4!C133,1)</f>
        <v/>
      </c>
      <c r="G131" t="str">
        <f>SUBSTITUTE(Planilha4!D132,Planilha4!D133,Planilha4!D133,1)</f>
        <v/>
      </c>
      <c r="H131" t="str">
        <f>SUBSTITUTE(Planilha4!E132,Planilha4!E133,Planilha4!E133,1)</f>
        <v/>
      </c>
      <c r="I131" t="str">
        <f>SUBSTITUTE(Planilha4!F132,Planilha4!F133,Planilha4!F133,1)</f>
        <v/>
      </c>
      <c r="J131" t="str">
        <f>SUBSTITUTE(Planilha4!G132,Planilha4!G133,Planilha4!G133,1)</f>
        <v/>
      </c>
      <c r="K131" t="str">
        <f>SUBSTITUTE(Planilha4!H132,Planilha4!H133,Planilha4!H133,1)</f>
        <v/>
      </c>
      <c r="L131" t="str">
        <f>SUBSTITUTE(Planilha4!I133,Planilha4!I133,Planilha4!I133,1)</f>
        <v/>
      </c>
      <c r="M131" t="str">
        <f>SUBSTITUTE(Planilha4!J133,Planilha4!J133,Planilha4!J133,1)</f>
        <v/>
      </c>
    </row>
    <row r="132" spans="4:13" x14ac:dyDescent="0.3">
      <c r="D132" t="str">
        <f>SUBSTITUTE(Planilha4!A133,Planilha4!A134,Planilha4!A134,1)</f>
        <v/>
      </c>
      <c r="E132" t="str">
        <f>SUBSTITUTE(Planilha4!B133,Planilha4!B134,Planilha4!B134,1)</f>
        <v/>
      </c>
      <c r="F132" t="str">
        <f>SUBSTITUTE(Planilha4!C133,Planilha4!C134,Planilha4!C134,1)</f>
        <v/>
      </c>
      <c r="G132" t="str">
        <f>SUBSTITUTE(Planilha4!D133,Planilha4!D134,Planilha4!D134,1)</f>
        <v/>
      </c>
      <c r="H132" t="str">
        <f>SUBSTITUTE(Planilha4!E133,Planilha4!E134,Planilha4!E134,1)</f>
        <v/>
      </c>
      <c r="I132" t="str">
        <f>SUBSTITUTE(Planilha4!F133,Planilha4!F134,Planilha4!F134,1)</f>
        <v/>
      </c>
      <c r="J132" t="str">
        <f>SUBSTITUTE(Planilha4!G133,Planilha4!G134,Planilha4!G134,1)</f>
        <v/>
      </c>
      <c r="K132" t="str">
        <f>SUBSTITUTE(Planilha4!H133,Planilha4!H134,Planilha4!H134,1)</f>
        <v/>
      </c>
      <c r="L132" t="str">
        <f>SUBSTITUTE(Planilha4!I134,Planilha4!I134,Planilha4!I134,1)</f>
        <v/>
      </c>
      <c r="M132" t="str">
        <f>SUBSTITUTE(Planilha4!J134,Planilha4!J134,Planilha4!J134,1)</f>
        <v/>
      </c>
    </row>
    <row r="133" spans="4:13" x14ac:dyDescent="0.3">
      <c r="D133" t="str">
        <f>SUBSTITUTE(Planilha4!A134,Planilha4!A135,Planilha4!A135,1)</f>
        <v/>
      </c>
      <c r="E133" t="str">
        <f>SUBSTITUTE(Planilha4!B134,Planilha4!B135,Planilha4!B135,1)</f>
        <v/>
      </c>
      <c r="F133" t="str">
        <f>SUBSTITUTE(Planilha4!C134,Planilha4!C135,Planilha4!C135,1)</f>
        <v/>
      </c>
      <c r="G133" t="str">
        <f>SUBSTITUTE(Planilha4!D134,Planilha4!D135,Planilha4!D135,1)</f>
        <v/>
      </c>
      <c r="H133" t="str">
        <f>SUBSTITUTE(Planilha4!E134,Planilha4!E135,Planilha4!E135,1)</f>
        <v/>
      </c>
      <c r="I133" t="str">
        <f>SUBSTITUTE(Planilha4!F134,Planilha4!F135,Planilha4!F135,1)</f>
        <v/>
      </c>
      <c r="J133" t="str">
        <f>SUBSTITUTE(Planilha4!G134,Planilha4!G135,Planilha4!G135,1)</f>
        <v/>
      </c>
      <c r="K133" t="str">
        <f>SUBSTITUTE(Planilha4!H134,Planilha4!H135,Planilha4!H135,1)</f>
        <v/>
      </c>
      <c r="L133" t="str">
        <f>SUBSTITUTE(Planilha4!I135,Planilha4!I135,Planilha4!I135,1)</f>
        <v/>
      </c>
      <c r="M133" t="str">
        <f>SUBSTITUTE(Planilha4!J135,Planilha4!J135,Planilha4!J135,1)</f>
        <v/>
      </c>
    </row>
    <row r="134" spans="4:13" x14ac:dyDescent="0.3">
      <c r="D134" t="str">
        <f>SUBSTITUTE(Planilha4!A135,Planilha4!A136,Planilha4!A136,1)</f>
        <v/>
      </c>
      <c r="E134" t="str">
        <f>SUBSTITUTE(Planilha4!B135,Planilha4!B136,Planilha4!B136,1)</f>
        <v/>
      </c>
      <c r="F134" t="str">
        <f>SUBSTITUTE(Planilha4!C135,Planilha4!C136,Planilha4!C136,1)</f>
        <v/>
      </c>
      <c r="G134" t="str">
        <f>SUBSTITUTE(Planilha4!D135,Planilha4!D136,Planilha4!D136,1)</f>
        <v/>
      </c>
      <c r="H134" t="str">
        <f>SUBSTITUTE(Planilha4!E135,Planilha4!E136,Planilha4!E136,1)</f>
        <v/>
      </c>
      <c r="I134" t="str">
        <f>SUBSTITUTE(Planilha4!F135,Planilha4!F136,Planilha4!F136,1)</f>
        <v/>
      </c>
      <c r="J134" t="str">
        <f>SUBSTITUTE(Planilha4!G135,Planilha4!G136,Planilha4!G136,1)</f>
        <v/>
      </c>
      <c r="K134" t="str">
        <f>SUBSTITUTE(Planilha4!H135,Planilha4!H136,Planilha4!H136,1)</f>
        <v/>
      </c>
      <c r="L134" t="str">
        <f>SUBSTITUTE(Planilha4!I136,Planilha4!I136,Planilha4!I136,1)</f>
        <v/>
      </c>
      <c r="M134" t="str">
        <f>SUBSTITUTE(Planilha4!J136,Planilha4!J136,Planilha4!J136,1)</f>
        <v/>
      </c>
    </row>
    <row r="135" spans="4:13" x14ac:dyDescent="0.3">
      <c r="D135" t="str">
        <f>SUBSTITUTE(Planilha4!A136,Planilha4!A137,Planilha4!A137,1)</f>
        <v/>
      </c>
      <c r="E135" t="str">
        <f>SUBSTITUTE(Planilha4!B136,Planilha4!B137,Planilha4!B137,1)</f>
        <v/>
      </c>
      <c r="F135" t="str">
        <f>SUBSTITUTE(Planilha4!C136,Planilha4!C137,Planilha4!C137,1)</f>
        <v/>
      </c>
      <c r="G135" t="str">
        <f>SUBSTITUTE(Planilha4!D136,Planilha4!D137,Planilha4!D137,1)</f>
        <v/>
      </c>
      <c r="H135" t="str">
        <f>SUBSTITUTE(Planilha4!E136,Planilha4!E137,Planilha4!E137,1)</f>
        <v/>
      </c>
      <c r="I135" t="str">
        <f>SUBSTITUTE(Planilha4!F136,Planilha4!F137,Planilha4!F137,1)</f>
        <v/>
      </c>
      <c r="J135" t="str">
        <f>SUBSTITUTE(Planilha4!G136,Planilha4!G137,Planilha4!G137,1)</f>
        <v/>
      </c>
      <c r="K135" t="str">
        <f>SUBSTITUTE(Planilha4!H136,Planilha4!H137,Planilha4!H137,1)</f>
        <v/>
      </c>
      <c r="L135" t="str">
        <f>SUBSTITUTE(Planilha4!I137,Planilha4!I137,Planilha4!I137,1)</f>
        <v/>
      </c>
      <c r="M135" t="str">
        <f>SUBSTITUTE(Planilha4!J137,Planilha4!J137,Planilha4!J137,1)</f>
        <v/>
      </c>
    </row>
    <row r="136" spans="4:13" x14ac:dyDescent="0.3">
      <c r="D136" t="str">
        <f>SUBSTITUTE(Planilha4!A137,Planilha4!A138,Planilha4!A138,1)</f>
        <v/>
      </c>
      <c r="E136" t="str">
        <f>SUBSTITUTE(Planilha4!B137,Planilha4!B138,Planilha4!B138,1)</f>
        <v/>
      </c>
      <c r="F136" t="str">
        <f>SUBSTITUTE(Planilha4!C137,Planilha4!C138,Planilha4!C138,1)</f>
        <v/>
      </c>
      <c r="G136" t="str">
        <f>SUBSTITUTE(Planilha4!D137,Planilha4!D138,Planilha4!D138,1)</f>
        <v/>
      </c>
      <c r="H136" t="str">
        <f>SUBSTITUTE(Planilha4!E137,Planilha4!E138,Planilha4!E138,1)</f>
        <v/>
      </c>
      <c r="I136" t="str">
        <f>SUBSTITUTE(Planilha4!F137,Planilha4!F138,Planilha4!F138,1)</f>
        <v/>
      </c>
      <c r="J136" t="str">
        <f>SUBSTITUTE(Planilha4!G137,Planilha4!G138,Planilha4!G138,1)</f>
        <v/>
      </c>
      <c r="K136" t="str">
        <f>SUBSTITUTE(Planilha4!H137,Planilha4!H138,Planilha4!H138,1)</f>
        <v/>
      </c>
      <c r="L136" t="str">
        <f>SUBSTITUTE(Planilha4!I138,Planilha4!I138,Planilha4!I138,1)</f>
        <v/>
      </c>
      <c r="M136" t="str">
        <f>SUBSTITUTE(Planilha4!J138,Planilha4!J138,Planilha4!J138,1)</f>
        <v/>
      </c>
    </row>
    <row r="137" spans="4:13" x14ac:dyDescent="0.3">
      <c r="D137" t="str">
        <f>SUBSTITUTE(Planilha4!A138,Planilha4!A139,Planilha4!A139,1)</f>
        <v/>
      </c>
      <c r="E137" t="str">
        <f>SUBSTITUTE(Planilha4!B138,Planilha4!B139,Planilha4!B139,1)</f>
        <v/>
      </c>
      <c r="F137" t="str">
        <f>SUBSTITUTE(Planilha4!C138,Planilha4!C139,Planilha4!C139,1)</f>
        <v/>
      </c>
      <c r="G137" t="str">
        <f>SUBSTITUTE(Planilha4!D138,Planilha4!D139,Planilha4!D139,1)</f>
        <v/>
      </c>
      <c r="H137" t="str">
        <f>SUBSTITUTE(Planilha4!E138,Planilha4!E139,Planilha4!E139,1)</f>
        <v/>
      </c>
      <c r="I137" t="str">
        <f>SUBSTITUTE(Planilha4!F138,Planilha4!F139,Planilha4!F139,1)</f>
        <v/>
      </c>
      <c r="J137" t="str">
        <f>SUBSTITUTE(Planilha4!G138,Planilha4!G139,Planilha4!G139,1)</f>
        <v/>
      </c>
      <c r="K137" t="str">
        <f>SUBSTITUTE(Planilha4!H138,Planilha4!H139,Planilha4!H139,1)</f>
        <v/>
      </c>
      <c r="L137" t="str">
        <f>SUBSTITUTE(Planilha4!I139,Planilha4!I139,Planilha4!I139,1)</f>
        <v/>
      </c>
      <c r="M137" t="str">
        <f>SUBSTITUTE(Planilha4!J139,Planilha4!J139,Planilha4!J139,1)</f>
        <v/>
      </c>
    </row>
    <row r="138" spans="4:13" x14ac:dyDescent="0.3">
      <c r="D138" t="str">
        <f>SUBSTITUTE(Planilha4!A139,Planilha4!A140,Planilha4!A140,1)</f>
        <v/>
      </c>
      <c r="E138" t="str">
        <f>SUBSTITUTE(Planilha4!B139,Planilha4!B140,Planilha4!B140,1)</f>
        <v/>
      </c>
      <c r="F138" t="str">
        <f>SUBSTITUTE(Planilha4!C139,Planilha4!C140,Planilha4!C140,1)</f>
        <v/>
      </c>
      <c r="G138" t="str">
        <f>SUBSTITUTE(Planilha4!D139,Planilha4!D140,Planilha4!D140,1)</f>
        <v/>
      </c>
      <c r="H138" t="str">
        <f>SUBSTITUTE(Planilha4!E139,Planilha4!E140,Planilha4!E140,1)</f>
        <v/>
      </c>
      <c r="I138" t="str">
        <f>SUBSTITUTE(Planilha4!F139,Planilha4!F140,Planilha4!F140,1)</f>
        <v/>
      </c>
      <c r="J138" t="str">
        <f>SUBSTITUTE(Planilha4!G139,Planilha4!G140,Planilha4!G140,1)</f>
        <v/>
      </c>
      <c r="K138" t="str">
        <f>SUBSTITUTE(Planilha4!H139,Planilha4!H140,Planilha4!H140,1)</f>
        <v/>
      </c>
      <c r="L138" t="str">
        <f>SUBSTITUTE(Planilha4!I140,Planilha4!I140,Planilha4!I140,1)</f>
        <v/>
      </c>
      <c r="M138" t="str">
        <f>SUBSTITUTE(Planilha4!J140,Planilha4!J140,Planilha4!J140,1)</f>
        <v/>
      </c>
    </row>
    <row r="139" spans="4:13" x14ac:dyDescent="0.3">
      <c r="D139" t="str">
        <f>SUBSTITUTE(Planilha4!A141,Planilha4!A141,Planilha4!A141,1)</f>
        <v/>
      </c>
      <c r="E139" t="str">
        <f>SUBSTITUTE(Planilha4!B141,Planilha4!B141,Planilha4!B141,1)</f>
        <v/>
      </c>
      <c r="F139" t="str">
        <f>SUBSTITUTE(Planilha4!C141,Planilha4!C141,Planilha4!C141,1)</f>
        <v/>
      </c>
      <c r="G139" t="str">
        <f>SUBSTITUTE(Planilha4!D141,Planilha4!D141,Planilha4!D141,1)</f>
        <v/>
      </c>
      <c r="H139" t="str">
        <f>SUBSTITUTE(Planilha4!E141,Planilha4!E141,Planilha4!E141,1)</f>
        <v/>
      </c>
      <c r="I139" t="str">
        <f>SUBSTITUTE(Planilha4!F141,Planilha4!F141,Planilha4!F141,1)</f>
        <v/>
      </c>
      <c r="J139" t="str">
        <f>SUBSTITUTE(Planilha4!G141,Planilha4!G141,Planilha4!G141,1)</f>
        <v/>
      </c>
      <c r="K139" t="str">
        <f>SUBSTITUTE(Planilha4!H141,Planilha4!H141,Planilha4!H141,1)</f>
        <v/>
      </c>
      <c r="L139" t="str">
        <f>SUBSTITUTE(Planilha4!I141,Planilha4!I141,Planilha4!I141,1)</f>
        <v/>
      </c>
      <c r="M139" t="str">
        <f>SUBSTITUTE(Planilha4!J141,Planilha4!J141,Planilha4!J141,1)</f>
        <v/>
      </c>
    </row>
    <row r="140" spans="4:13" x14ac:dyDescent="0.3">
      <c r="D140" t="str">
        <f>SUBSTITUTE(Planilha4!A142,Planilha4!A142,Planilha4!A142,1)</f>
        <v/>
      </c>
      <c r="E140" t="str">
        <f>SUBSTITUTE(Planilha4!B142,Planilha4!B142,Planilha4!B142,1)</f>
        <v/>
      </c>
      <c r="F140" t="str">
        <f>SUBSTITUTE(Planilha4!C142,Planilha4!C142,Planilha4!C142,1)</f>
        <v/>
      </c>
      <c r="G140" t="str">
        <f>SUBSTITUTE(Planilha4!D142,Planilha4!D142,Planilha4!D142,1)</f>
        <v/>
      </c>
      <c r="H140" t="str">
        <f>SUBSTITUTE(Planilha4!E142,Planilha4!E142,Planilha4!E142,1)</f>
        <v/>
      </c>
      <c r="I140" t="str">
        <f>SUBSTITUTE(Planilha4!F142,Planilha4!F142,Planilha4!F142,1)</f>
        <v/>
      </c>
      <c r="J140" t="str">
        <f>SUBSTITUTE(Planilha4!G142,Planilha4!G142,Planilha4!G142,1)</f>
        <v/>
      </c>
      <c r="K140" t="str">
        <f>SUBSTITUTE(Planilha4!H142,Planilha4!H142,Planilha4!H142,1)</f>
        <v/>
      </c>
      <c r="L140" t="str">
        <f>SUBSTITUTE(Planilha4!I142,Planilha4!I142,Planilha4!I142,1)</f>
        <v/>
      </c>
      <c r="M140" t="str">
        <f>SUBSTITUTE(Planilha4!J142,Planilha4!J142,Planilha4!J142,1)</f>
        <v/>
      </c>
    </row>
    <row r="141" spans="4:13" x14ac:dyDescent="0.3">
      <c r="D141" t="str">
        <f>SUBSTITUTE(Planilha4!A143,Planilha4!A143,Planilha4!A143,1)</f>
        <v/>
      </c>
      <c r="E141" t="str">
        <f>SUBSTITUTE(Planilha4!B143,Planilha4!B143,Planilha4!B143,1)</f>
        <v/>
      </c>
      <c r="F141" t="str">
        <f>SUBSTITUTE(Planilha4!C143,Planilha4!C143,Planilha4!C143,1)</f>
        <v/>
      </c>
      <c r="G141" t="str">
        <f>SUBSTITUTE(Planilha4!D143,Planilha4!D143,Planilha4!D143,1)</f>
        <v/>
      </c>
      <c r="H141" t="str">
        <f>SUBSTITUTE(Planilha4!E143,Planilha4!E143,Planilha4!E143,1)</f>
        <v/>
      </c>
      <c r="I141" t="str">
        <f>SUBSTITUTE(Planilha4!F143,Planilha4!F143,Planilha4!F143,1)</f>
        <v/>
      </c>
      <c r="J141" t="str">
        <f>SUBSTITUTE(Planilha4!G143,Planilha4!G143,Planilha4!G143,1)</f>
        <v/>
      </c>
      <c r="K141" t="str">
        <f>SUBSTITUTE(Planilha4!H143,Planilha4!H143,Planilha4!H143,1)</f>
        <v/>
      </c>
      <c r="L141" t="str">
        <f>SUBSTITUTE(Planilha4!I143,Planilha4!I143,Planilha4!I143,1)</f>
        <v/>
      </c>
      <c r="M141" t="str">
        <f>SUBSTITUTE(Planilha4!J143,Planilha4!J143,Planilha4!J143,1)</f>
        <v/>
      </c>
    </row>
    <row r="142" spans="4:13" x14ac:dyDescent="0.3">
      <c r="D142" t="str">
        <f>SUBSTITUTE(Planilha4!A144,Planilha4!A144,Planilha4!A144,1)</f>
        <v/>
      </c>
      <c r="E142" t="str">
        <f>SUBSTITUTE(Planilha4!B144,Planilha4!B144,Planilha4!B144,1)</f>
        <v/>
      </c>
      <c r="F142" t="str">
        <f>SUBSTITUTE(Planilha4!C144,Planilha4!C144,Planilha4!C144,1)</f>
        <v/>
      </c>
      <c r="G142" t="str">
        <f>SUBSTITUTE(Planilha4!D144,Planilha4!D144,Planilha4!D144,1)</f>
        <v/>
      </c>
      <c r="H142" t="str">
        <f>SUBSTITUTE(Planilha4!E144,Planilha4!E144,Planilha4!E144,1)</f>
        <v/>
      </c>
      <c r="I142" t="str">
        <f>SUBSTITUTE(Planilha4!F144,Planilha4!F144,Planilha4!F144,1)</f>
        <v/>
      </c>
      <c r="J142" t="str">
        <f>SUBSTITUTE(Planilha4!G144,Planilha4!G144,Planilha4!G144,1)</f>
        <v/>
      </c>
      <c r="K142" t="str">
        <f>SUBSTITUTE(Planilha4!H144,Planilha4!H144,Planilha4!H144,1)</f>
        <v/>
      </c>
      <c r="L142" t="str">
        <f>SUBSTITUTE(Planilha4!I144,Planilha4!I144,Planilha4!I144,1)</f>
        <v/>
      </c>
      <c r="M142" t="str">
        <f>SUBSTITUTE(Planilha4!J144,Planilha4!J144,Planilha4!J144,1)</f>
        <v/>
      </c>
    </row>
    <row r="143" spans="4:13" x14ac:dyDescent="0.3">
      <c r="D143" t="str">
        <f>SUBSTITUTE(Planilha4!A145,Planilha4!A145,Planilha4!A145,1)</f>
        <v/>
      </c>
      <c r="E143" t="str">
        <f>SUBSTITUTE(Planilha4!B145,Planilha4!B145,Planilha4!B145,1)</f>
        <v/>
      </c>
      <c r="F143" t="str">
        <f>SUBSTITUTE(Planilha4!C145,Planilha4!C145,Planilha4!C145,1)</f>
        <v/>
      </c>
      <c r="G143" t="str">
        <f>SUBSTITUTE(Planilha4!D145,Planilha4!D145,Planilha4!D145,1)</f>
        <v/>
      </c>
      <c r="H143" t="str">
        <f>SUBSTITUTE(Planilha4!E145,Planilha4!E145,Planilha4!E145,1)</f>
        <v/>
      </c>
      <c r="I143" t="str">
        <f>SUBSTITUTE(Planilha4!F145,Planilha4!F145,Planilha4!F145,1)</f>
        <v/>
      </c>
      <c r="J143" t="str">
        <f>SUBSTITUTE(Planilha4!G145,Planilha4!G145,Planilha4!G145,1)</f>
        <v/>
      </c>
      <c r="K143" t="str">
        <f>SUBSTITUTE(Planilha4!H145,Planilha4!H145,Planilha4!H145,1)</f>
        <v/>
      </c>
      <c r="L143" t="str">
        <f>SUBSTITUTE(Planilha4!I145,Planilha4!I145,Planilha4!I145,1)</f>
        <v/>
      </c>
      <c r="M143" t="str">
        <f>SUBSTITUTE(Planilha4!J145,Planilha4!J145,Planilha4!J145,1)</f>
        <v/>
      </c>
    </row>
    <row r="144" spans="4:13" x14ac:dyDescent="0.3">
      <c r="D144" t="str">
        <f>SUBSTITUTE(Planilha4!A146,Planilha4!A146,Planilha4!A146,1)</f>
        <v/>
      </c>
      <c r="E144" t="str">
        <f>SUBSTITUTE(Planilha4!B146,Planilha4!B146,Planilha4!B146,1)</f>
        <v/>
      </c>
      <c r="F144" t="str">
        <f>SUBSTITUTE(Planilha4!C146,Planilha4!C146,Planilha4!C146,1)</f>
        <v/>
      </c>
      <c r="G144" t="str">
        <f>SUBSTITUTE(Planilha4!D146,Planilha4!D146,Planilha4!D146,1)</f>
        <v/>
      </c>
      <c r="H144" t="str">
        <f>SUBSTITUTE(Planilha4!E146,Planilha4!E146,Planilha4!E146,1)</f>
        <v/>
      </c>
      <c r="I144" t="str">
        <f>SUBSTITUTE(Planilha4!F146,Planilha4!F146,Planilha4!F146,1)</f>
        <v/>
      </c>
      <c r="J144" t="str">
        <f>SUBSTITUTE(Planilha4!G146,Planilha4!G146,Planilha4!G146,1)</f>
        <v/>
      </c>
      <c r="K144" t="str">
        <f>SUBSTITUTE(Planilha4!H146,Planilha4!H146,Planilha4!H146,1)</f>
        <v/>
      </c>
      <c r="L144" t="str">
        <f>SUBSTITUTE(Planilha4!I146,Planilha4!I146,Planilha4!I146,1)</f>
        <v/>
      </c>
      <c r="M144" t="str">
        <f>SUBSTITUTE(Planilha4!J146,Planilha4!J146,Planilha4!J146,1)</f>
        <v/>
      </c>
    </row>
    <row r="145" spans="4:13" x14ac:dyDescent="0.3">
      <c r="D145" t="str">
        <f>SUBSTITUTE(Planilha4!A147,Planilha4!A147,Planilha4!A147,1)</f>
        <v/>
      </c>
      <c r="E145" t="str">
        <f>SUBSTITUTE(Planilha4!B147,Planilha4!B147,Planilha4!B147,1)</f>
        <v/>
      </c>
      <c r="F145" t="str">
        <f>SUBSTITUTE(Planilha4!C147,Planilha4!C147,Planilha4!C147,1)</f>
        <v/>
      </c>
      <c r="G145" t="str">
        <f>SUBSTITUTE(Planilha4!D147,Planilha4!D147,Planilha4!D147,1)</f>
        <v/>
      </c>
      <c r="H145" t="str">
        <f>SUBSTITUTE(Planilha4!E147,Planilha4!E147,Planilha4!E147,1)</f>
        <v/>
      </c>
      <c r="I145" t="str">
        <f>SUBSTITUTE(Planilha4!F147,Planilha4!F147,Planilha4!F147,1)</f>
        <v/>
      </c>
      <c r="J145" t="str">
        <f>SUBSTITUTE(Planilha4!G147,Planilha4!G147,Planilha4!G147,1)</f>
        <v/>
      </c>
      <c r="K145" t="str">
        <f>SUBSTITUTE(Planilha4!H147,Planilha4!H147,Planilha4!H147,1)</f>
        <v/>
      </c>
      <c r="L145" t="str">
        <f>SUBSTITUTE(Planilha4!I147,Planilha4!I147,Planilha4!I147,1)</f>
        <v/>
      </c>
      <c r="M145" t="str">
        <f>SUBSTITUTE(Planilha4!J147,Planilha4!J147,Planilha4!J147,1)</f>
        <v/>
      </c>
    </row>
    <row r="146" spans="4:13" x14ac:dyDescent="0.3">
      <c r="D146" t="str">
        <f>SUBSTITUTE(Planilha4!A148,Planilha4!A148,Planilha4!A148,1)</f>
        <v/>
      </c>
      <c r="E146" t="str">
        <f>SUBSTITUTE(Planilha4!B148,Planilha4!B148,Planilha4!B148,1)</f>
        <v/>
      </c>
      <c r="F146" t="str">
        <f>SUBSTITUTE(Planilha4!C148,Planilha4!C148,Planilha4!C148,1)</f>
        <v/>
      </c>
      <c r="G146" t="str">
        <f>SUBSTITUTE(Planilha4!D148,Planilha4!D148,Planilha4!D148,1)</f>
        <v/>
      </c>
      <c r="H146" t="str">
        <f>SUBSTITUTE(Planilha4!E148,Planilha4!E148,Planilha4!E148,1)</f>
        <v/>
      </c>
      <c r="I146" t="str">
        <f>SUBSTITUTE(Planilha4!F148,Planilha4!F148,Planilha4!F148,1)</f>
        <v/>
      </c>
      <c r="J146" t="str">
        <f>SUBSTITUTE(Planilha4!G148,Planilha4!G148,Planilha4!G148,1)</f>
        <v/>
      </c>
      <c r="K146" t="str">
        <f>SUBSTITUTE(Planilha4!H148,Planilha4!H148,Planilha4!H148,1)</f>
        <v/>
      </c>
      <c r="L146" t="str">
        <f>SUBSTITUTE(Planilha4!I148,Planilha4!I148,Planilha4!I148,1)</f>
        <v/>
      </c>
      <c r="M146" t="str">
        <f>SUBSTITUTE(Planilha4!J148,Planilha4!J148,Planilha4!J148,1)</f>
        <v/>
      </c>
    </row>
    <row r="147" spans="4:13" x14ac:dyDescent="0.3">
      <c r="D147" t="str">
        <f>SUBSTITUTE(Planilha4!A149,Planilha4!A149,Planilha4!A149,1)</f>
        <v/>
      </c>
      <c r="E147" t="str">
        <f>SUBSTITUTE(Planilha4!B149,Planilha4!B149,Planilha4!B149,1)</f>
        <v/>
      </c>
      <c r="F147" t="str">
        <f>SUBSTITUTE(Planilha4!C149,Planilha4!C149,Planilha4!C149,1)</f>
        <v/>
      </c>
      <c r="G147" t="str">
        <f>SUBSTITUTE(Planilha4!D149,Planilha4!D149,Planilha4!D149,1)</f>
        <v/>
      </c>
      <c r="H147" t="str">
        <f>SUBSTITUTE(Planilha4!E149,Planilha4!E149,Planilha4!E149,1)</f>
        <v/>
      </c>
      <c r="I147" t="str">
        <f>SUBSTITUTE(Planilha4!F149,Planilha4!F149,Planilha4!F149,1)</f>
        <v/>
      </c>
      <c r="J147" t="str">
        <f>SUBSTITUTE(Planilha4!G149,Planilha4!G149,Planilha4!G149,1)</f>
        <v/>
      </c>
      <c r="K147" t="str">
        <f>SUBSTITUTE(Planilha4!H149,Planilha4!H149,Planilha4!H149,1)</f>
        <v/>
      </c>
      <c r="L147" t="str">
        <f>SUBSTITUTE(Planilha4!I149,Planilha4!I149,Planilha4!I149,1)</f>
        <v/>
      </c>
      <c r="M147" t="str">
        <f>SUBSTITUTE(Planilha4!J149,Planilha4!J149,Planilha4!J149,1)</f>
        <v/>
      </c>
    </row>
    <row r="148" spans="4:13" x14ac:dyDescent="0.3">
      <c r="D148" t="str">
        <f>SUBSTITUTE(Planilha4!A150,Planilha4!A150,Planilha4!A150,1)</f>
        <v/>
      </c>
      <c r="E148" t="str">
        <f>SUBSTITUTE(Planilha4!B150,Planilha4!B150,Planilha4!B150,1)</f>
        <v/>
      </c>
      <c r="F148" t="str">
        <f>SUBSTITUTE(Planilha4!C150,Planilha4!C150,Planilha4!C150,1)</f>
        <v/>
      </c>
      <c r="G148" t="str">
        <f>SUBSTITUTE(Planilha4!D150,Planilha4!D150,Planilha4!D150,1)</f>
        <v/>
      </c>
      <c r="H148" t="str">
        <f>SUBSTITUTE(Planilha4!E150,Planilha4!E150,Planilha4!E150,1)</f>
        <v/>
      </c>
      <c r="I148" t="str">
        <f>SUBSTITUTE(Planilha4!F150,Planilha4!F150,Planilha4!F150,1)</f>
        <v/>
      </c>
      <c r="J148" t="str">
        <f>SUBSTITUTE(Planilha4!G150,Planilha4!G150,Planilha4!G150,1)</f>
        <v/>
      </c>
      <c r="K148" t="str">
        <f>SUBSTITUTE(Planilha4!H150,Planilha4!H150,Planilha4!H150,1)</f>
        <v/>
      </c>
      <c r="L148" t="str">
        <f>SUBSTITUTE(Planilha4!I150,Planilha4!I150,Planilha4!I150,1)</f>
        <v/>
      </c>
      <c r="M148" t="str">
        <f>SUBSTITUTE(Planilha4!J150,Planilha4!J150,Planilha4!J150,1)</f>
        <v/>
      </c>
    </row>
    <row r="149" spans="4:13" x14ac:dyDescent="0.3">
      <c r="D149" t="str">
        <f>SUBSTITUTE(Planilha4!A151,Planilha4!A151,Planilha4!A151,1)</f>
        <v/>
      </c>
      <c r="E149" t="str">
        <f>SUBSTITUTE(Planilha4!B151,Planilha4!B151,Planilha4!B151,1)</f>
        <v/>
      </c>
      <c r="F149" t="str">
        <f>SUBSTITUTE(Planilha4!C151,Planilha4!C151,Planilha4!C151,1)</f>
        <v/>
      </c>
      <c r="G149" t="str">
        <f>SUBSTITUTE(Planilha4!D151,Planilha4!D151,Planilha4!D151,1)</f>
        <v/>
      </c>
      <c r="H149" t="str">
        <f>SUBSTITUTE(Planilha4!E151,Planilha4!E151,Planilha4!E151,1)</f>
        <v/>
      </c>
      <c r="I149" t="str">
        <f>SUBSTITUTE(Planilha4!F151,Planilha4!F151,Planilha4!F151,1)</f>
        <v/>
      </c>
      <c r="J149" t="str">
        <f>SUBSTITUTE(Planilha4!G151,Planilha4!G151,Planilha4!G151,1)</f>
        <v/>
      </c>
      <c r="K149" t="str">
        <f>SUBSTITUTE(Planilha4!H151,Planilha4!H151,Planilha4!H151,1)</f>
        <v/>
      </c>
      <c r="L149" t="str">
        <f>SUBSTITUTE(Planilha4!I151,Planilha4!I151,Planilha4!I151,1)</f>
        <v/>
      </c>
      <c r="M149" t="str">
        <f>SUBSTITUTE(Planilha4!J151,Planilha4!J151,Planilha4!J151,1)</f>
        <v/>
      </c>
    </row>
    <row r="150" spans="4:13" x14ac:dyDescent="0.3">
      <c r="D150" t="str">
        <f>SUBSTITUTE(Planilha4!A152,Planilha4!A152,Planilha4!A152,1)</f>
        <v/>
      </c>
      <c r="E150" t="str">
        <f>SUBSTITUTE(Planilha4!B152,Planilha4!B152,Planilha4!B152,1)</f>
        <v/>
      </c>
      <c r="F150" t="str">
        <f>SUBSTITUTE(Planilha4!C152,Planilha4!C152,Planilha4!C152,1)</f>
        <v/>
      </c>
      <c r="G150" t="str">
        <f>SUBSTITUTE(Planilha4!D152,Planilha4!D152,Planilha4!D152,1)</f>
        <v/>
      </c>
      <c r="H150" t="str">
        <f>SUBSTITUTE(Planilha4!E152,Planilha4!E152,Planilha4!E152,1)</f>
        <v/>
      </c>
      <c r="I150" t="str">
        <f>SUBSTITUTE(Planilha4!F152,Planilha4!F152,Planilha4!F152,1)</f>
        <v/>
      </c>
      <c r="J150" t="str">
        <f>SUBSTITUTE(Planilha4!G152,Planilha4!G152,Planilha4!G152,1)</f>
        <v/>
      </c>
      <c r="K150" t="str">
        <f>SUBSTITUTE(Planilha4!H152,Planilha4!H152,Planilha4!H152,1)</f>
        <v/>
      </c>
      <c r="L150" t="str">
        <f>SUBSTITUTE(Planilha4!I152,Planilha4!I152,Planilha4!I152,1)</f>
        <v/>
      </c>
      <c r="M150" t="str">
        <f>SUBSTITUTE(Planilha4!J152,Planilha4!J152,Planilha4!J152,1)</f>
        <v/>
      </c>
    </row>
    <row r="200" spans="1:6" x14ac:dyDescent="0.3">
      <c r="A200" s="4"/>
      <c r="B200" s="4"/>
      <c r="C200" s="4"/>
      <c r="D200" s="4"/>
      <c r="E200" s="4"/>
      <c r="F200" s="4"/>
    </row>
    <row r="201" spans="1:6" x14ac:dyDescent="0.3">
      <c r="A201" s="21"/>
      <c r="B201" s="42"/>
      <c r="C201" s="21"/>
      <c r="D201" s="21"/>
      <c r="E201" s="21"/>
      <c r="F201" s="42"/>
    </row>
    <row r="202" spans="1:6" x14ac:dyDescent="0.3">
      <c r="A202" s="41"/>
      <c r="B202" s="22" t="str">
        <f>UPPER(B201)</f>
        <v/>
      </c>
      <c r="C202" s="43"/>
      <c r="D202" s="40"/>
      <c r="E202" s="43"/>
      <c r="F202" s="22" t="str">
        <f>UPPER(F201)</f>
        <v/>
      </c>
    </row>
  </sheetData>
  <dataValidations count="4">
    <dataValidation type="textLength" allowBlank="1" showInputMessage="1" showErrorMessage="1" sqref="B2" xr:uid="{0FB9E613-70B8-42A1-AFB1-13372F7589A5}">
      <formula1>0</formula1>
      <formula2>38</formula2>
    </dataValidation>
    <dataValidation type="date" allowBlank="1" showInputMessage="1" showErrorMessage="1" sqref="B3" xr:uid="{C5D662A1-E460-4E4E-AFDA-AAA32B55E092}">
      <formula1>44197</formula1>
      <formula2>44561</formula2>
    </dataValidation>
    <dataValidation type="date" operator="lessThan" allowBlank="1" showInputMessage="1" showErrorMessage="1" sqref="B5" xr:uid="{49CC4A69-3B97-42D7-B015-943113759390}">
      <formula1>$B$3</formula1>
    </dataValidation>
    <dataValidation operator="lessThan" allowBlank="1" showInputMessage="1" showErrorMessage="1" sqref="B6" xr:uid="{84CB6701-D2B8-4ED7-BC1E-34A3C0E587E9}"/>
  </dataValidations>
  <pageMargins left="0.511811024" right="0.511811024" top="0.78740157499999996" bottom="0.78740157499999996" header="0.31496062000000002" footer="0.31496062000000002"/>
  <pageSetup paperSize="9" orientation="portrait" horizontalDpi="0" verticalDpi="0" r:id="rId1"/>
  <drawing r:id="rId2"/>
  <extLst>
    <ext xmlns:x14="http://schemas.microsoft.com/office/spreadsheetml/2009/9/main" uri="{CCE6A557-97BC-4b89-ADB6-D9C93CAAB3DF}">
      <x14:dataValidations xmlns:xm="http://schemas.microsoft.com/office/excel/2006/main" count="1">
        <x14:dataValidation type="list" allowBlank="1" showInputMessage="1" showErrorMessage="1" xr:uid="{1AC5A9CD-098B-4B22-B01A-02369FFE29F5}">
          <x14:formula1>
            <xm:f>Planilha3!$E$1:$E$10</xm:f>
          </x14:formula1>
          <xm:sqref>B4</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282215-B14C-4180-A908-FC0655CFEB82}">
  <sheetPr codeName="Planilha6"/>
  <dimension ref="A1"/>
  <sheetViews>
    <sheetView workbookViewId="0">
      <selection activeCell="G15" sqref="G15"/>
    </sheetView>
  </sheetViews>
  <sheetFormatPr defaultRowHeight="14.4" x14ac:dyDescent="0.3"/>
  <sheetData/>
  <pageMargins left="0.511811024" right="0.511811024" top="0.78740157499999996" bottom="0.78740157499999996" header="0.31496062000000002" footer="0.3149606200000000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4AB664-5CFB-410A-B829-7A1723195752}">
  <sheetPr codeName="Planilha8"/>
  <dimension ref="A1:H23"/>
  <sheetViews>
    <sheetView workbookViewId="0">
      <selection activeCell="G23" sqref="G23"/>
    </sheetView>
  </sheetViews>
  <sheetFormatPr defaultRowHeight="14.4" x14ac:dyDescent="0.3"/>
  <cols>
    <col min="1" max="1" width="10" bestFit="1" customWidth="1"/>
    <col min="2" max="2" width="5.44140625" bestFit="1" customWidth="1"/>
    <col min="3" max="3" width="12.33203125" bestFit="1" customWidth="1"/>
    <col min="5" max="5" width="21.77734375" bestFit="1" customWidth="1"/>
    <col min="6" max="6" width="7.77734375" bestFit="1" customWidth="1"/>
    <col min="7" max="9" width="5.6640625" bestFit="1" customWidth="1"/>
    <col min="10" max="10" width="4.6640625" bestFit="1" customWidth="1"/>
    <col min="11" max="11" width="6.21875" bestFit="1" customWidth="1"/>
    <col min="12" max="12" width="8.6640625" bestFit="1" customWidth="1"/>
    <col min="13" max="13" width="8.21875" bestFit="1" customWidth="1"/>
  </cols>
  <sheetData>
    <row r="1" spans="1:8" ht="18" x14ac:dyDescent="0.3">
      <c r="A1" s="83" t="s">
        <v>65</v>
      </c>
      <c r="B1" s="84" t="s">
        <v>66</v>
      </c>
      <c r="C1" s="85" t="s">
        <v>67</v>
      </c>
      <c r="E1" s="95"/>
    </row>
    <row r="2" spans="1:8" ht="15" thickBot="1" x14ac:dyDescent="0.35">
      <c r="A2" s="86">
        <v>0</v>
      </c>
      <c r="B2" s="87">
        <v>0</v>
      </c>
      <c r="C2" s="88">
        <v>100</v>
      </c>
      <c r="F2" s="99"/>
      <c r="G2" s="99"/>
      <c r="H2" s="99"/>
    </row>
    <row r="3" spans="1:8" x14ac:dyDescent="0.3">
      <c r="F3" s="100"/>
      <c r="G3" s="100"/>
      <c r="H3" s="101"/>
    </row>
    <row r="17" spans="1:7" x14ac:dyDescent="0.3">
      <c r="A17" s="96"/>
    </row>
    <row r="23" spans="1:7" x14ac:dyDescent="0.3">
      <c r="G23" t="s">
        <v>74</v>
      </c>
    </row>
  </sheetData>
  <pageMargins left="0.511811024" right="0.511811024" top="0.78740157499999996" bottom="0.78740157499999996" header="0.31496062000000002" footer="0.31496062000000002"/>
  <pageSetup paperSize="9" orientation="portrait" horizontalDpi="0" verticalDpi="0"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DC5EB0-E24A-4199-9A19-3186B33D0A0B}">
  <sheetPr codeName="Planilha9"/>
  <dimension ref="A1:L3"/>
  <sheetViews>
    <sheetView workbookViewId="0">
      <selection activeCell="D2" sqref="D2"/>
    </sheetView>
  </sheetViews>
  <sheetFormatPr defaultRowHeight="14.4" x14ac:dyDescent="0.3"/>
  <cols>
    <col min="2" max="2" width="10" bestFit="1" customWidth="1"/>
    <col min="3" max="3" width="5.44140625" bestFit="1" customWidth="1"/>
    <col min="4" max="4" width="12.33203125" bestFit="1" customWidth="1"/>
  </cols>
  <sheetData>
    <row r="1" spans="1:12" ht="15" customHeight="1" x14ac:dyDescent="0.3">
      <c r="B1" s="83" t="s">
        <v>65</v>
      </c>
      <c r="C1" s="84" t="s">
        <v>66</v>
      </c>
      <c r="D1" s="85" t="s">
        <v>67</v>
      </c>
      <c r="E1" s="95" t="s">
        <v>66</v>
      </c>
      <c r="F1" s="95" t="s">
        <v>27</v>
      </c>
    </row>
    <row r="2" spans="1:12" ht="15" thickBot="1" x14ac:dyDescent="0.35">
      <c r="A2" t="s">
        <v>68</v>
      </c>
      <c r="B2" s="86">
        <v>0</v>
      </c>
      <c r="C2" s="87">
        <v>0</v>
      </c>
      <c r="D2" s="88">
        <v>100</v>
      </c>
      <c r="E2">
        <f>C2</f>
        <v>0</v>
      </c>
      <c r="F2" s="90">
        <f>$L$3*$B$2</f>
        <v>0</v>
      </c>
    </row>
    <row r="3" spans="1:12" x14ac:dyDescent="0.3">
      <c r="A3" t="s">
        <v>69</v>
      </c>
      <c r="B3" s="93">
        <f>Planilha2!$G$3</f>
        <v>6</v>
      </c>
      <c r="C3" s="92">
        <f>Planilha2!$I$3</f>
        <v>3</v>
      </c>
      <c r="D3" s="94">
        <f>Planilha2!$H$3</f>
        <v>0.5</v>
      </c>
      <c r="J3">
        <f>Planilha12!$H$3-Planilha12!$G$3</f>
        <v>0</v>
      </c>
      <c r="L3" s="91">
        <f>D2/100</f>
        <v>1</v>
      </c>
    </row>
  </sheetData>
  <pageMargins left="0.511811024" right="0.511811024" top="0.78740157499999996" bottom="0.78740157499999996" header="0.31496062000000002" footer="0.31496062000000002"/>
  <drawing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 ma:contentTypeID="0x010100CF49EB473549D042A35013002F15D695" ma:contentTypeVersion="12" ma:contentTypeDescription="Create a new document." ma:contentTypeScope="" ma:versionID="407f5a05eb629a285ed4ee4d0b105e67">
  <xsd:schema xmlns:xsd="http://www.w3.org/2001/XMLSchema" xmlns:xs="http://www.w3.org/2001/XMLSchema" xmlns:p="http://schemas.microsoft.com/office/2006/metadata/properties" xmlns:ns3="7dd21995-0bd6-489d-aa9e-1ee4467353c6" xmlns:ns4="a8a50628-83b1-4679-9d6b-c517787d0ac5" targetNamespace="http://schemas.microsoft.com/office/2006/metadata/properties" ma:root="true" ma:fieldsID="f5e5a86b08918763e9f6459f7e606769" ns3:_="" ns4:_="">
    <xsd:import namespace="7dd21995-0bd6-489d-aa9e-1ee4467353c6"/>
    <xsd:import namespace="a8a50628-83b1-4679-9d6b-c517787d0ac5"/>
    <xsd:element name="properties">
      <xsd:complexType>
        <xsd:sequence>
          <xsd:element name="documentManagement">
            <xsd:complexType>
              <xsd:all>
                <xsd:element ref="ns3:MediaServiceMetadata" minOccurs="0"/>
                <xsd:element ref="ns3:MediaServiceFastMetadata" minOccurs="0"/>
                <xsd:element ref="ns3:MediaServiceAutoKeyPoints" minOccurs="0"/>
                <xsd:element ref="ns3:MediaServiceKeyPoints" minOccurs="0"/>
                <xsd:element ref="ns4:SharedWithUsers" minOccurs="0"/>
                <xsd:element ref="ns4:SharedWithDetails" minOccurs="0"/>
                <xsd:element ref="ns4:SharingHintHash" minOccurs="0"/>
                <xsd:element ref="ns3:MediaServiceDateTaken" minOccurs="0"/>
                <xsd:element ref="ns3:MediaServiceAutoTags" minOccurs="0"/>
                <xsd:element ref="ns3:MediaServiceOCR" minOccurs="0"/>
                <xsd:element ref="ns3:MediaServiceGenerationTime" minOccurs="0"/>
                <xsd:element ref="ns3:MediaServiceEventHashCode"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7dd21995-0bd6-489d-aa9e-1ee4467353c6"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KeyPoints" ma:index="10" nillable="true" ma:displayName="MediaServiceAutoKeyPoints" ma:hidden="true" ma:internalName="MediaServiceAutoKeyPoints" ma:readOnly="true">
      <xsd:simpleType>
        <xsd:restriction base="dms:Note"/>
      </xsd:simpleType>
    </xsd:element>
    <xsd:element name="MediaServiceKeyPoints" ma:index="11" nillable="true" ma:displayName="KeyPoints" ma:internalName="MediaServiceKeyPoints" ma:readOnly="true">
      <xsd:simpleType>
        <xsd:restriction base="dms:Note">
          <xsd:maxLength value="255"/>
        </xsd:restriction>
      </xsd:simpleType>
    </xsd:element>
    <xsd:element name="MediaServiceDateTaken" ma:index="15" nillable="true" ma:displayName="MediaServiceDateTaken" ma:hidden="true" ma:internalName="MediaServiceDateTaken" ma:readOnly="true">
      <xsd:simpleType>
        <xsd:restriction base="dms:Text"/>
      </xsd:simpleType>
    </xsd:element>
    <xsd:element name="MediaServiceAutoTags" ma:index="16" nillable="true" ma:displayName="Tags" ma:internalName="MediaServiceAutoTags" ma:readOnly="true">
      <xsd:simpleType>
        <xsd:restriction base="dms:Text"/>
      </xsd:simpleType>
    </xsd:element>
    <xsd:element name="MediaServiceOCR" ma:index="17" nillable="true" ma:displayName="Extracted Text" ma:internalName="MediaServiceOCR" ma:readOnly="true">
      <xsd:simpleType>
        <xsd:restriction base="dms:Note">
          <xsd:maxLength value="255"/>
        </xsd:restriction>
      </xsd:simpleType>
    </xsd:element>
    <xsd:element name="MediaServiceGenerationTime" ma:index="18" nillable="true" ma:displayName="MediaServiceGenerationTime" ma:hidden="true" ma:internalName="MediaServiceGenerationTime" ma:readOnly="true">
      <xsd:simpleType>
        <xsd:restriction base="dms:Text"/>
      </xsd:simpleType>
    </xsd:element>
    <xsd:element name="MediaServiceEventHashCode" ma:index="19" nillable="true" ma:displayName="MediaServiceEventHashCode" ma:hidden="true" ma:internalName="MediaServiceEventHashCode"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a8a50628-83b1-4679-9d6b-c517787d0ac5" elementFormDefault="qualified">
    <xsd:import namespace="http://schemas.microsoft.com/office/2006/documentManagement/types"/>
    <xsd:import namespace="http://schemas.microsoft.com/office/infopath/2007/PartnerControls"/>
    <xsd:element name="SharedWithUsers" ma:index="12"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3" nillable="true" ma:displayName="Shared With Details" ma:internalName="SharedWithDetails" ma:readOnly="true">
      <xsd:simpleType>
        <xsd:restriction base="dms:Note">
          <xsd:maxLength value="255"/>
        </xsd:restriction>
      </xsd:simpleType>
    </xsd:element>
    <xsd:element name="SharingHintHash" ma:index="14" nillable="true" ma:displayName="Sharing Hint Hash" ma:hidden="true" ma:internalName="SharingHintHash"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1972296D-DB62-4A5A-8DBD-A1EBC20B90B3}">
  <ds:schemaRefs>
    <ds:schemaRef ds:uri="http://schemas.microsoft.com/sharepoint/v3/contenttype/forms"/>
  </ds:schemaRefs>
</ds:datastoreItem>
</file>

<file path=customXml/itemProps2.xml><?xml version="1.0" encoding="utf-8"?>
<ds:datastoreItem xmlns:ds="http://schemas.openxmlformats.org/officeDocument/2006/customXml" ds:itemID="{6BB26900-0E70-4320-8A1C-6883AC8AB9BB}">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7dd21995-0bd6-489d-aa9e-1ee4467353c6"/>
    <ds:schemaRef ds:uri="a8a50628-83b1-4679-9d6b-c517787d0ac5"/>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38F80FA1-EE8C-4976-956D-53C45C684A51}">
  <ds:schemaRefs>
    <ds:schemaRef ds:uri="http://schemas.microsoft.com/office/infopath/2007/PartnerControls"/>
    <ds:schemaRef ds:uri="7dd21995-0bd6-489d-aa9e-1ee4467353c6"/>
    <ds:schemaRef ds:uri="http://purl.org/dc/terms/"/>
    <ds:schemaRef ds:uri="http://schemas.openxmlformats.org/package/2006/metadata/core-properties"/>
    <ds:schemaRef ds:uri="http://schemas.microsoft.com/office/2006/documentManagement/types"/>
    <ds:schemaRef ds:uri="http://purl.org/dc/elements/1.1/"/>
    <ds:schemaRef ds:uri="http://schemas.microsoft.com/office/2006/metadata/properties"/>
    <ds:schemaRef ds:uri="a8a50628-83b1-4679-9d6b-c517787d0ac5"/>
    <ds:schemaRef ds:uri="http://www.w3.org/XML/1998/namespace"/>
    <ds:schemaRef ds:uri="http://purl.org/dc/dcmitype/"/>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Planilhas</vt:lpstr>
      </vt:variant>
      <vt:variant>
        <vt:i4>9</vt:i4>
      </vt:variant>
      <vt:variant>
        <vt:lpstr>Intervalos Nomeados</vt:lpstr>
      </vt:variant>
      <vt:variant>
        <vt:i4>2</vt:i4>
      </vt:variant>
    </vt:vector>
  </HeadingPairs>
  <TitlesOfParts>
    <vt:vector size="11" baseType="lpstr">
      <vt:lpstr>Planilha1</vt:lpstr>
      <vt:lpstr>Planilha7</vt:lpstr>
      <vt:lpstr>Planilha3</vt:lpstr>
      <vt:lpstr>Planilha2</vt:lpstr>
      <vt:lpstr>Planilha4</vt:lpstr>
      <vt:lpstr>Planilha5</vt:lpstr>
      <vt:lpstr>Planilha6</vt:lpstr>
      <vt:lpstr>Planilha11</vt:lpstr>
      <vt:lpstr>Planilha12</vt:lpstr>
      <vt:lpstr>Planilha11!ALU_Historico.aspx?96911__20_201577__20_20_20_20_20_20_2056__20_203267</vt:lpstr>
      <vt:lpstr>Planilha12!ALU_Historico.aspx?96911__20_201577__20_20_20_20_20_20_2056__20_203267</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Rafael Funchal</dc:creator>
  <cp:lastModifiedBy>Rafael Funchal</cp:lastModifiedBy>
  <dcterms:created xsi:type="dcterms:W3CDTF">2020-12-18T04:48:22Z</dcterms:created>
  <dcterms:modified xsi:type="dcterms:W3CDTF">2021-01-09T22:37:17Z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0x010100CF49EB473549D042A35013002F15D695</vt:lpwstr>
  </property>
</Properties>
</file>